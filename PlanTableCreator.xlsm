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3.xml" ContentType="application/vnd.ms-excel.person+xml"/>
  <Override PartName="/xl/persons/person10.xml" ContentType="application/vnd.ms-excel.person+xml"/>
  <Override PartName="/xl/persons/person5.xml" ContentType="application/vnd.ms-excel.person+xml"/>
  <Override PartName="/xl/persons/person18.xml" ContentType="application/vnd.ms-excel.person+xml"/>
  <Override PartName="/xl/persons/person2.xml" ContentType="application/vnd.ms-excel.person+xml"/>
  <Override PartName="/xl/persons/person9.xml" ContentType="application/vnd.ms-excel.person+xml"/>
  <Override PartName="/xl/persons/person17.xml" ContentType="application/vnd.ms-excel.person+xml"/>
  <Override PartName="/xl/persons/person0.xml" ContentType="application/vnd.ms-excel.person+xml"/>
  <Override PartName="/xl/persons/person4.xml" ContentType="application/vnd.ms-excel.person+xml"/>
  <Override PartName="/xl/persons/person13.xml" ContentType="application/vnd.ms-excel.person+xml"/>
  <Override PartName="/xl/persons/person8.xml" ContentType="application/vnd.ms-excel.person+xml"/>
  <Override PartName="/xl/persons/person16.xml" ContentType="application/vnd.ms-excel.person+xml"/>
  <Override PartName="/xl/persons/person1.xml" ContentType="application/vnd.ms-excel.person+xml"/>
  <Override PartName="/xl/persons/person7.xml" ContentType="application/vnd.ms-excel.person+xml"/>
  <Override PartName="/xl/persons/person12.xml" ContentType="application/vnd.ms-excel.person+xml"/>
  <Override PartName="/xl/persons/person6.xml" ContentType="application/vnd.ms-excel.person+xml"/>
  <Override PartName="/xl/persons/person14.xml" ContentType="application/vnd.ms-excel.person+xml"/>
  <Override PartName="/xl/persons/person.xml" ContentType="application/vnd.ms-excel.person+xml"/>
  <Override PartName="/xl/persons/person15.xml" ContentType="application/vnd.ms-excel.person+xml"/>
  <Override PartName="/xl/persons/person1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anna\OneDrive - CONG TY CO PHAN TRAPHACO\sync\PlanTable\"/>
    </mc:Choice>
  </mc:AlternateContent>
  <xr:revisionPtr revIDLastSave="0" documentId="13_ncr:1_{99B3C994-7694-468E-82F6-343D277DF3AD}" xr6:coauthVersionLast="40" xr6:coauthVersionMax="47" xr10:uidLastSave="{00000000-0000-0000-0000-000000000000}"/>
  <bookViews>
    <workbookView xWindow="-120" yWindow="-120" windowWidth="29040" windowHeight="15840" activeTab="4" xr2:uid="{DC9731C4-C4E6-4808-A260-20D4D73C94D4}"/>
  </bookViews>
  <sheets>
    <sheet name="Summary" sheetId="5" r:id="rId1"/>
    <sheet name="Abbr" sheetId="7" r:id="rId2"/>
    <sheet name="EquipmentInfo" sheetId="3" r:id="rId3"/>
    <sheet name="PlanData" sheetId="1" r:id="rId4"/>
    <sheet name="ReportData" sheetId="6" r:id="rId5"/>
    <sheet name="_" sheetId="4" r:id="rId6"/>
    <sheet name="PlanTable" sheetId="2" r:id="rId7"/>
  </sheets>
  <functionGroups builtInGroupCount="19"/>
  <definedNames>
    <definedName name="_xlnm.Print_Titles" localSheetId="6">PlanTable!$4:$5</definedName>
  </definedNames>
  <calcPr calcId="18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2" i="6" l="1"/>
  <c r="C139" i="6" l="1"/>
  <c r="C138" i="6"/>
  <c r="C114" i="6"/>
  <c r="C13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63" i="6"/>
  <c r="C17" i="6"/>
  <c r="C10" i="6"/>
  <c r="C25" i="6"/>
  <c r="C27" i="6"/>
  <c r="C8" i="6"/>
  <c r="C9" i="6"/>
  <c r="C14" i="6"/>
  <c r="C18" i="6"/>
  <c r="C19" i="6"/>
  <c r="C20" i="6"/>
  <c r="C21" i="6"/>
  <c r="C22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4" i="6"/>
  <c r="C65" i="6"/>
  <c r="C66" i="6"/>
  <c r="C67" i="6"/>
  <c r="C68" i="6"/>
  <c r="C69" i="6"/>
  <c r="C28" i="6"/>
  <c r="C30" i="6"/>
  <c r="C2" i="6"/>
  <c r="C3" i="6"/>
  <c r="C4" i="6"/>
  <c r="C5" i="6"/>
  <c r="C6" i="6"/>
  <c r="C23" i="6"/>
  <c r="C24" i="6"/>
  <c r="C26" i="6"/>
  <c r="C29" i="6"/>
  <c r="C7" i="6"/>
  <c r="C11" i="6"/>
  <c r="C12" i="6"/>
  <c r="C15" i="6"/>
  <c r="C16" i="6"/>
  <c r="C101" i="6"/>
  <c r="C102" i="6"/>
  <c r="C103" i="6"/>
  <c r="C104" i="6"/>
  <c r="C108" i="6"/>
  <c r="C120" i="6"/>
  <c r="C105" i="6"/>
  <c r="C117" i="6"/>
  <c r="C106" i="6"/>
  <c r="C99" i="6"/>
  <c r="C100" i="6"/>
  <c r="C90" i="6"/>
  <c r="C92" i="6"/>
  <c r="C107" i="6"/>
  <c r="C109" i="6"/>
  <c r="C118" i="6"/>
  <c r="C91" i="6"/>
  <c r="C93" i="6"/>
  <c r="C94" i="6"/>
  <c r="C95" i="6"/>
  <c r="C97" i="6"/>
  <c r="C98" i="6"/>
  <c r="C85" i="6"/>
  <c r="C112" i="6"/>
  <c r="C113" i="6"/>
  <c r="C110" i="6"/>
  <c r="C121" i="6"/>
  <c r="C119" i="6"/>
  <c r="C96" i="6"/>
  <c r="C86" i="6"/>
  <c r="C111" i="6"/>
  <c r="C87" i="6"/>
  <c r="C88" i="6"/>
  <c r="C89" i="6"/>
  <c r="C84" i="6"/>
  <c r="C136" i="6"/>
  <c r="C137" i="6"/>
  <c r="C126" i="6"/>
  <c r="C127" i="6"/>
  <c r="C130" i="6"/>
  <c r="C131" i="6"/>
  <c r="C132" i="6"/>
  <c r="C133" i="6"/>
  <c r="C125" i="6"/>
  <c r="C128" i="6"/>
  <c r="C129" i="6"/>
  <c r="C134" i="6"/>
  <c r="C135" i="6"/>
  <c r="C122" i="6"/>
  <c r="C123" i="6"/>
  <c r="C124" i="6"/>
  <c r="C140" i="6"/>
  <c r="C141" i="6"/>
  <c r="C115" i="6"/>
  <c r="C116" i="6"/>
  <c r="B6" i="2" l="1"/>
  <c r="B230" i="2"/>
  <c r="H230" i="2" s="1"/>
  <c r="C230" i="2"/>
  <c r="B229" i="2"/>
  <c r="H229" i="2" s="1"/>
  <c r="C229" i="2"/>
  <c r="B228" i="2"/>
  <c r="J228" i="2" s="1"/>
  <c r="C228" i="2"/>
  <c r="B227" i="2"/>
  <c r="H227" i="2" s="1"/>
  <c r="C227" i="2"/>
  <c r="B226" i="2"/>
  <c r="J226" i="2" s="1"/>
  <c r="C226" i="2"/>
  <c r="B225" i="2"/>
  <c r="H225" i="2" s="1"/>
  <c r="C225" i="2"/>
  <c r="B224" i="2"/>
  <c r="G224" i="2" s="1"/>
  <c r="C224" i="2"/>
  <c r="B223" i="2"/>
  <c r="H223" i="2" s="1"/>
  <c r="C223" i="2"/>
  <c r="B222" i="2"/>
  <c r="E222" i="2" s="1"/>
  <c r="C222" i="2"/>
  <c r="B221" i="2"/>
  <c r="H221" i="2" s="1"/>
  <c r="C221" i="2"/>
  <c r="B220" i="2"/>
  <c r="H220" i="2" s="1"/>
  <c r="C220" i="2"/>
  <c r="B219" i="2"/>
  <c r="H219" i="2" s="1"/>
  <c r="C219" i="2"/>
  <c r="B218" i="2"/>
  <c r="H218" i="2" s="1"/>
  <c r="C218" i="2"/>
  <c r="B217" i="2"/>
  <c r="J217" i="2" s="1"/>
  <c r="C217" i="2"/>
  <c r="B216" i="2"/>
  <c r="H216" i="2" s="1"/>
  <c r="C216" i="2"/>
  <c r="B215" i="2"/>
  <c r="H215" i="2" s="1"/>
  <c r="C215" i="2"/>
  <c r="B214" i="2"/>
  <c r="H214" i="2" s="1"/>
  <c r="C214" i="2"/>
  <c r="B213" i="2"/>
  <c r="H213" i="2" s="1"/>
  <c r="C213" i="2"/>
  <c r="B212" i="2"/>
  <c r="H212" i="2" s="1"/>
  <c r="C212" i="2"/>
  <c r="B211" i="2"/>
  <c r="H211" i="2" s="1"/>
  <c r="C211" i="2"/>
  <c r="B210" i="2"/>
  <c r="H210" i="2" s="1"/>
  <c r="C210" i="2"/>
  <c r="B209" i="2"/>
  <c r="J209" i="2" s="1"/>
  <c r="C209" i="2"/>
  <c r="B208" i="2"/>
  <c r="H208" i="2" s="1"/>
  <c r="C208" i="2"/>
  <c r="B207" i="2"/>
  <c r="H207" i="2" s="1"/>
  <c r="C207" i="2"/>
  <c r="B206" i="2"/>
  <c r="G206" i="2" s="1"/>
  <c r="C206" i="2"/>
  <c r="B205" i="2"/>
  <c r="E205" i="2" s="1"/>
  <c r="C205" i="2"/>
  <c r="B204" i="2"/>
  <c r="H204" i="2" s="1"/>
  <c r="C204" i="2"/>
  <c r="B203" i="2"/>
  <c r="H203" i="2" s="1"/>
  <c r="C203" i="2"/>
  <c r="B202" i="2"/>
  <c r="J202" i="2" s="1"/>
  <c r="C202" i="2"/>
  <c r="B201" i="2"/>
  <c r="H201" i="2" s="1"/>
  <c r="C201" i="2"/>
  <c r="B200" i="2"/>
  <c r="H200" i="2" s="1"/>
  <c r="C200" i="2"/>
  <c r="B199" i="2"/>
  <c r="E199" i="2" s="1"/>
  <c r="C199" i="2"/>
  <c r="B198" i="2"/>
  <c r="E198" i="2" s="1"/>
  <c r="C198" i="2"/>
  <c r="B197" i="2"/>
  <c r="J197" i="2" s="1"/>
  <c r="C197" i="2"/>
  <c r="B196" i="2"/>
  <c r="H196" i="2" s="1"/>
  <c r="C196" i="2"/>
  <c r="B195" i="2"/>
  <c r="F195" i="2" s="1"/>
  <c r="C195" i="2"/>
  <c r="B194" i="2"/>
  <c r="H194" i="2" s="1"/>
  <c r="C194" i="2"/>
  <c r="B193" i="2"/>
  <c r="H193" i="2" s="1"/>
  <c r="C193" i="2"/>
  <c r="B192" i="2"/>
  <c r="H192" i="2" s="1"/>
  <c r="C192" i="2"/>
  <c r="B191" i="2"/>
  <c r="E191" i="2" s="1"/>
  <c r="C191" i="2"/>
  <c r="B190" i="2"/>
  <c r="H190" i="2" s="1"/>
  <c r="C190" i="2"/>
  <c r="B189" i="2"/>
  <c r="F189" i="2" s="1"/>
  <c r="C189" i="2"/>
  <c r="B188" i="2"/>
  <c r="H188" i="2" s="1"/>
  <c r="C188" i="2"/>
  <c r="B187" i="2"/>
  <c r="J187" i="2" s="1"/>
  <c r="C187" i="2"/>
  <c r="B186" i="2"/>
  <c r="H186" i="2" s="1"/>
  <c r="C186" i="2"/>
  <c r="B185" i="2"/>
  <c r="H185" i="2" s="1"/>
  <c r="C185" i="2"/>
  <c r="B184" i="2"/>
  <c r="H184" i="2" s="1"/>
  <c r="C184" i="2"/>
  <c r="B183" i="2"/>
  <c r="H183" i="2" s="1"/>
  <c r="C183" i="2"/>
  <c r="B182" i="2"/>
  <c r="G182" i="2" s="1"/>
  <c r="C182" i="2"/>
  <c r="B181" i="2"/>
  <c r="J181" i="2" s="1"/>
  <c r="C181" i="2"/>
  <c r="B180" i="2"/>
  <c r="H180" i="2" s="1"/>
  <c r="C180" i="2"/>
  <c r="B179" i="2"/>
  <c r="G179" i="2" s="1"/>
  <c r="C179" i="2"/>
  <c r="B178" i="2"/>
  <c r="H178" i="2" s="1"/>
  <c r="C178" i="2"/>
  <c r="B177" i="2"/>
  <c r="H177" i="2" s="1"/>
  <c r="C177" i="2"/>
  <c r="B176" i="2"/>
  <c r="H176" i="2" s="1"/>
  <c r="C176" i="2"/>
  <c r="B175" i="2"/>
  <c r="H175" i="2" s="1"/>
  <c r="C175" i="2"/>
  <c r="B174" i="2"/>
  <c r="H174" i="2" s="1"/>
  <c r="C174" i="2"/>
  <c r="B173" i="2"/>
  <c r="H173" i="2" s="1"/>
  <c r="C173" i="2"/>
  <c r="B172" i="2"/>
  <c r="H172" i="2" s="1"/>
  <c r="C172" i="2"/>
  <c r="B171" i="2"/>
  <c r="E171" i="2" s="1"/>
  <c r="C171" i="2"/>
  <c r="B170" i="2"/>
  <c r="H170" i="2" s="1"/>
  <c r="C170" i="2"/>
  <c r="B169" i="2"/>
  <c r="F169" i="2" s="1"/>
  <c r="C169" i="2"/>
  <c r="B168" i="2"/>
  <c r="H168" i="2" s="1"/>
  <c r="C168" i="2"/>
  <c r="B167" i="2"/>
  <c r="J167" i="2" s="1"/>
  <c r="C167" i="2"/>
  <c r="B166" i="2"/>
  <c r="H166" i="2" s="1"/>
  <c r="C166" i="2"/>
  <c r="B165" i="2"/>
  <c r="H165" i="2" s="1"/>
  <c r="C165" i="2"/>
  <c r="B164" i="2"/>
  <c r="E164" i="2" s="1"/>
  <c r="C164" i="2"/>
  <c r="B163" i="2"/>
  <c r="H163" i="2" s="1"/>
  <c r="C163" i="2"/>
  <c r="B162" i="2"/>
  <c r="J162" i="2" s="1"/>
  <c r="C162" i="2"/>
  <c r="B161" i="2"/>
  <c r="E161" i="2" s="1"/>
  <c r="C161" i="2"/>
  <c r="B160" i="2"/>
  <c r="E160" i="2" s="1"/>
  <c r="C160" i="2"/>
  <c r="B159" i="2"/>
  <c r="H159" i="2" s="1"/>
  <c r="C159" i="2"/>
  <c r="B158" i="2"/>
  <c r="H158" i="2" s="1"/>
  <c r="C158" i="2"/>
  <c r="B157" i="2"/>
  <c r="H157" i="2" s="1"/>
  <c r="C157" i="2"/>
  <c r="B156" i="2"/>
  <c r="H156" i="2" s="1"/>
  <c r="C156" i="2"/>
  <c r="B155" i="2"/>
  <c r="H155" i="2" s="1"/>
  <c r="C155" i="2"/>
  <c r="B154" i="2"/>
  <c r="G154" i="2" s="1"/>
  <c r="C154" i="2"/>
  <c r="B153" i="2"/>
  <c r="H153" i="2" s="1"/>
  <c r="C153" i="2"/>
  <c r="B152" i="2"/>
  <c r="G152" i="2" s="1"/>
  <c r="C152" i="2"/>
  <c r="B151" i="2"/>
  <c r="H151" i="2" s="1"/>
  <c r="C151" i="2"/>
  <c r="B150" i="2"/>
  <c r="G150" i="2" s="1"/>
  <c r="C150" i="2"/>
  <c r="B149" i="2"/>
  <c r="G149" i="2" s="1"/>
  <c r="C149" i="2"/>
  <c r="B148" i="2"/>
  <c r="H148" i="2" s="1"/>
  <c r="C148" i="2"/>
  <c r="B147" i="2"/>
  <c r="H147" i="2" s="1"/>
  <c r="C147" i="2"/>
  <c r="B146" i="2"/>
  <c r="H146" i="2" s="1"/>
  <c r="C146" i="2"/>
  <c r="B145" i="2"/>
  <c r="J145" i="2" s="1"/>
  <c r="C145" i="2"/>
  <c r="B144" i="2"/>
  <c r="H144" i="2" s="1"/>
  <c r="C144" i="2"/>
  <c r="B143" i="2"/>
  <c r="F143" i="2" s="1"/>
  <c r="C143" i="2"/>
  <c r="B142" i="2"/>
  <c r="E142" i="2" s="1"/>
  <c r="C142" i="2"/>
  <c r="B141" i="2"/>
  <c r="H141" i="2" s="1"/>
  <c r="C141" i="2"/>
  <c r="B140" i="2"/>
  <c r="J140" i="2" s="1"/>
  <c r="C140" i="2"/>
  <c r="B139" i="2"/>
  <c r="H139" i="2" s="1"/>
  <c r="C139" i="2"/>
  <c r="B138" i="2"/>
  <c r="H138" i="2" s="1"/>
  <c r="C138" i="2"/>
  <c r="B137" i="2"/>
  <c r="H137" i="2" s="1"/>
  <c r="C137" i="2"/>
  <c r="B136" i="2"/>
  <c r="H136" i="2" s="1"/>
  <c r="C136" i="2"/>
  <c r="B135" i="2"/>
  <c r="G135" i="2" s="1"/>
  <c r="C135" i="2"/>
  <c r="B134" i="2"/>
  <c r="H134" i="2" s="1"/>
  <c r="C134" i="2"/>
  <c r="B133" i="2"/>
  <c r="H133" i="2" s="1"/>
  <c r="C133" i="2"/>
  <c r="B132" i="2"/>
  <c r="F132" i="2" s="1"/>
  <c r="C132" i="2"/>
  <c r="B131" i="2"/>
  <c r="H131" i="2" s="1"/>
  <c r="C131" i="2"/>
  <c r="B130" i="2"/>
  <c r="G130" i="2" s="1"/>
  <c r="C130" i="2"/>
  <c r="B129" i="2"/>
  <c r="H129" i="2" s="1"/>
  <c r="C129" i="2"/>
  <c r="B128" i="2"/>
  <c r="H128" i="2" s="1"/>
  <c r="C128" i="2"/>
  <c r="B127" i="2"/>
  <c r="H127" i="2" s="1"/>
  <c r="C127" i="2"/>
  <c r="B126" i="2"/>
  <c r="H126" i="2" s="1"/>
  <c r="C126" i="2"/>
  <c r="B125" i="2"/>
  <c r="G125" i="2" s="1"/>
  <c r="C125" i="2"/>
  <c r="B124" i="2"/>
  <c r="H124" i="2" s="1"/>
  <c r="C124" i="2"/>
  <c r="B123" i="2"/>
  <c r="H123" i="2" s="1"/>
  <c r="C123" i="2"/>
  <c r="B122" i="2"/>
  <c r="H122" i="2" s="1"/>
  <c r="C122" i="2"/>
  <c r="B121" i="2"/>
  <c r="F121" i="2" s="1"/>
  <c r="C121" i="2"/>
  <c r="B120" i="2"/>
  <c r="H120" i="2" s="1"/>
  <c r="C120" i="2"/>
  <c r="B119" i="2"/>
  <c r="H119" i="2" s="1"/>
  <c r="C119" i="2"/>
  <c r="B118" i="2"/>
  <c r="J118" i="2" s="1"/>
  <c r="C118" i="2"/>
  <c r="B117" i="2"/>
  <c r="J117" i="2" s="1"/>
  <c r="C117" i="2"/>
  <c r="B116" i="2"/>
  <c r="H116" i="2" s="1"/>
  <c r="C116" i="2"/>
  <c r="B115" i="2"/>
  <c r="J115" i="2" s="1"/>
  <c r="C115" i="2"/>
  <c r="B114" i="2"/>
  <c r="J114" i="2" s="1"/>
  <c r="C114" i="2"/>
  <c r="B113" i="2"/>
  <c r="E113" i="2" s="1"/>
  <c r="C113" i="2"/>
  <c r="B112" i="2"/>
  <c r="H112" i="2" s="1"/>
  <c r="C112" i="2"/>
  <c r="B111" i="2"/>
  <c r="H111" i="2" s="1"/>
  <c r="C111" i="2"/>
  <c r="B110" i="2"/>
  <c r="H110" i="2" s="1"/>
  <c r="C110" i="2"/>
  <c r="B109" i="2"/>
  <c r="H109" i="2" s="1"/>
  <c r="C109" i="2"/>
  <c r="B108" i="2"/>
  <c r="H108" i="2" s="1"/>
  <c r="C108" i="2"/>
  <c r="B107" i="2"/>
  <c r="H107" i="2" s="1"/>
  <c r="C107" i="2"/>
  <c r="B106" i="2"/>
  <c r="H106" i="2" s="1"/>
  <c r="C106" i="2"/>
  <c r="B105" i="2"/>
  <c r="H105" i="2" s="1"/>
  <c r="C105" i="2"/>
  <c r="B104" i="2"/>
  <c r="H104" i="2" s="1"/>
  <c r="C104" i="2"/>
  <c r="B103" i="2"/>
  <c r="G103" i="2" s="1"/>
  <c r="C103" i="2"/>
  <c r="B102" i="2"/>
  <c r="F102" i="2" s="1"/>
  <c r="C102" i="2"/>
  <c r="B101" i="2"/>
  <c r="H101" i="2" s="1"/>
  <c r="C101" i="2"/>
  <c r="B100" i="2"/>
  <c r="H100" i="2" s="1"/>
  <c r="C100" i="2"/>
  <c r="B99" i="2"/>
  <c r="H99" i="2" s="1"/>
  <c r="C99" i="2"/>
  <c r="B98" i="2"/>
  <c r="G98" i="2" s="1"/>
  <c r="C98" i="2"/>
  <c r="B97" i="2"/>
  <c r="H97" i="2" s="1"/>
  <c r="C97" i="2"/>
  <c r="B96" i="2"/>
  <c r="J96" i="2" s="1"/>
  <c r="C96" i="2"/>
  <c r="B95" i="2"/>
  <c r="E95" i="2" s="1"/>
  <c r="C95" i="2"/>
  <c r="B94" i="2"/>
  <c r="J94" i="2" s="1"/>
  <c r="C94" i="2"/>
  <c r="B93" i="2"/>
  <c r="J93" i="2" s="1"/>
  <c r="C93" i="2"/>
  <c r="B92" i="2"/>
  <c r="H92" i="2" s="1"/>
  <c r="C92" i="2"/>
  <c r="B91" i="2"/>
  <c r="E91" i="2" s="1"/>
  <c r="C91" i="2"/>
  <c r="B90" i="2"/>
  <c r="F90" i="2" s="1"/>
  <c r="C90" i="2"/>
  <c r="B89" i="2"/>
  <c r="E89" i="2" s="1"/>
  <c r="C89" i="2"/>
  <c r="B88" i="2"/>
  <c r="G88" i="2" s="1"/>
  <c r="C88" i="2"/>
  <c r="B87" i="2"/>
  <c r="H87" i="2" s="1"/>
  <c r="C87" i="2"/>
  <c r="B86" i="2"/>
  <c r="E86" i="2" s="1"/>
  <c r="C86" i="2"/>
  <c r="B85" i="2"/>
  <c r="J85" i="2" s="1"/>
  <c r="C85" i="2"/>
  <c r="B84" i="2"/>
  <c r="H84" i="2" s="1"/>
  <c r="C84" i="2"/>
  <c r="B83" i="2"/>
  <c r="H83" i="2" s="1"/>
  <c r="C83" i="2"/>
  <c r="B82" i="2"/>
  <c r="H82" i="2" s="1"/>
  <c r="C82" i="2"/>
  <c r="B81" i="2"/>
  <c r="J81" i="2" s="1"/>
  <c r="C81" i="2"/>
  <c r="B80" i="2"/>
  <c r="J80" i="2" s="1"/>
  <c r="C80" i="2"/>
  <c r="B79" i="2"/>
  <c r="H79" i="2" s="1"/>
  <c r="C79" i="2"/>
  <c r="B78" i="2"/>
  <c r="F78" i="2" s="1"/>
  <c r="C78" i="2"/>
  <c r="B77" i="2"/>
  <c r="F77" i="2" s="1"/>
  <c r="C77" i="2"/>
  <c r="B76" i="2"/>
  <c r="F76" i="2" s="1"/>
  <c r="C76" i="2"/>
  <c r="B75" i="2"/>
  <c r="H75" i="2" s="1"/>
  <c r="C75" i="2"/>
  <c r="B74" i="2"/>
  <c r="H74" i="2" s="1"/>
  <c r="C74" i="2"/>
  <c r="B73" i="2"/>
  <c r="G73" i="2" s="1"/>
  <c r="C73" i="2"/>
  <c r="B72" i="2"/>
  <c r="H72" i="2" s="1"/>
  <c r="C72" i="2"/>
  <c r="B71" i="2"/>
  <c r="E71" i="2" s="1"/>
  <c r="C71" i="2"/>
  <c r="B70" i="2"/>
  <c r="H70" i="2" s="1"/>
  <c r="C70" i="2"/>
  <c r="B69" i="2"/>
  <c r="H69" i="2" s="1"/>
  <c r="C69" i="2"/>
  <c r="B68" i="2"/>
  <c r="F68" i="2" s="1"/>
  <c r="C68" i="2"/>
  <c r="B67" i="2"/>
  <c r="G67" i="2" s="1"/>
  <c r="C67" i="2"/>
  <c r="B66" i="2"/>
  <c r="G66" i="2" s="1"/>
  <c r="C66" i="2"/>
  <c r="B65" i="2"/>
  <c r="E65" i="2" s="1"/>
  <c r="C65" i="2"/>
  <c r="B64" i="2"/>
  <c r="J64" i="2" s="1"/>
  <c r="C64" i="2"/>
  <c r="B63" i="2"/>
  <c r="E63" i="2" s="1"/>
  <c r="C63" i="2"/>
  <c r="B62" i="2"/>
  <c r="H62" i="2" s="1"/>
  <c r="C62" i="2"/>
  <c r="B61" i="2"/>
  <c r="E61" i="2" s="1"/>
  <c r="C61" i="2"/>
  <c r="B60" i="2"/>
  <c r="H60" i="2" s="1"/>
  <c r="C60" i="2"/>
  <c r="B59" i="2"/>
  <c r="H59" i="2" s="1"/>
  <c r="C59" i="2"/>
  <c r="B58" i="2"/>
  <c r="H58" i="2" s="1"/>
  <c r="C58" i="2"/>
  <c r="B57" i="2"/>
  <c r="E57" i="2" s="1"/>
  <c r="C57" i="2"/>
  <c r="B56" i="2"/>
  <c r="H56" i="2" s="1"/>
  <c r="C56" i="2"/>
  <c r="B55" i="2"/>
  <c r="H55" i="2" s="1"/>
  <c r="C55" i="2"/>
  <c r="B54" i="2"/>
  <c r="J54" i="2" s="1"/>
  <c r="C54" i="2"/>
  <c r="B53" i="2"/>
  <c r="H53" i="2" s="1"/>
  <c r="C53" i="2"/>
  <c r="B52" i="2"/>
  <c r="E52" i="2" s="1"/>
  <c r="C52" i="2"/>
  <c r="B51" i="2"/>
  <c r="J51" i="2" s="1"/>
  <c r="C51" i="2"/>
  <c r="B50" i="2"/>
  <c r="G50" i="2" s="1"/>
  <c r="C50" i="2"/>
  <c r="B49" i="2"/>
  <c r="H49" i="2" s="1"/>
  <c r="C49" i="2"/>
  <c r="B48" i="2"/>
  <c r="H48" i="2" s="1"/>
  <c r="C48" i="2"/>
  <c r="B47" i="2"/>
  <c r="J47" i="2" s="1"/>
  <c r="C47" i="2"/>
  <c r="B46" i="2"/>
  <c r="F46" i="2" s="1"/>
  <c r="C46" i="2"/>
  <c r="B45" i="2"/>
  <c r="H45" i="2" s="1"/>
  <c r="C45" i="2"/>
  <c r="B44" i="2"/>
  <c r="J44" i="2" s="1"/>
  <c r="C44" i="2"/>
  <c r="B43" i="2"/>
  <c r="G43" i="2" s="1"/>
  <c r="C43" i="2"/>
  <c r="B42" i="2"/>
  <c r="G42" i="2" s="1"/>
  <c r="C42" i="2"/>
  <c r="B41" i="2"/>
  <c r="F41" i="2" s="1"/>
  <c r="C41" i="2"/>
  <c r="B40" i="2"/>
  <c r="J40" i="2" s="1"/>
  <c r="C40" i="2"/>
  <c r="B39" i="2"/>
  <c r="F39" i="2" s="1"/>
  <c r="C39" i="2"/>
  <c r="B38" i="2"/>
  <c r="F38" i="2" s="1"/>
  <c r="C38" i="2"/>
  <c r="B37" i="2"/>
  <c r="G37" i="2" s="1"/>
  <c r="C37" i="2"/>
  <c r="B36" i="2"/>
  <c r="G36" i="2" s="1"/>
  <c r="C36" i="2"/>
  <c r="B35" i="2"/>
  <c r="E35" i="2" s="1"/>
  <c r="C35" i="2"/>
  <c r="B34" i="2"/>
  <c r="G34" i="2" s="1"/>
  <c r="C34" i="2"/>
  <c r="B33" i="2"/>
  <c r="G33" i="2" s="1"/>
  <c r="C33" i="2"/>
  <c r="B32" i="2"/>
  <c r="I32" i="2" s="1"/>
  <c r="C32" i="2"/>
  <c r="B31" i="2"/>
  <c r="H31" i="2" s="1"/>
  <c r="C31" i="2"/>
  <c r="B30" i="2"/>
  <c r="H30" i="2" s="1"/>
  <c r="C30" i="2"/>
  <c r="B29" i="2"/>
  <c r="G29" i="2" s="1"/>
  <c r="C29" i="2"/>
  <c r="B28" i="2"/>
  <c r="E28" i="2" s="1"/>
  <c r="C28" i="2"/>
  <c r="B27" i="2"/>
  <c r="E27" i="2" s="1"/>
  <c r="C27" i="2"/>
  <c r="B26" i="2"/>
  <c r="E26" i="2" s="1"/>
  <c r="C26" i="2"/>
  <c r="B25" i="2"/>
  <c r="J25" i="2" s="1"/>
  <c r="C25" i="2"/>
  <c r="B24" i="2"/>
  <c r="F24" i="2" s="1"/>
  <c r="C24" i="2"/>
  <c r="B23" i="2"/>
  <c r="E23" i="2" s="1"/>
  <c r="C23" i="2"/>
  <c r="B22" i="2"/>
  <c r="E22" i="2" s="1"/>
  <c r="C22" i="2"/>
  <c r="B21" i="2"/>
  <c r="E21" i="2" s="1"/>
  <c r="C21" i="2"/>
  <c r="B20" i="2"/>
  <c r="E20" i="2" s="1"/>
  <c r="C20" i="2"/>
  <c r="B19" i="2"/>
  <c r="E19" i="2" s="1"/>
  <c r="C19" i="2"/>
  <c r="B18" i="2"/>
  <c r="E18" i="2" s="1"/>
  <c r="C18" i="2"/>
  <c r="B17" i="2"/>
  <c r="E17" i="2" s="1"/>
  <c r="C17" i="2"/>
  <c r="B16" i="2"/>
  <c r="E16" i="2" s="1"/>
  <c r="C16" i="2"/>
  <c r="B15" i="2"/>
  <c r="E15" i="2" s="1"/>
  <c r="C15" i="2"/>
  <c r="B14" i="2"/>
  <c r="E14" i="2" s="1"/>
  <c r="C14" i="2"/>
  <c r="B13" i="2"/>
  <c r="E13" i="2" s="1"/>
  <c r="C13" i="2"/>
  <c r="B12" i="2"/>
  <c r="E12" i="2" s="1"/>
  <c r="C12" i="2"/>
  <c r="B11" i="2"/>
  <c r="E11" i="2" s="1"/>
  <c r="C11" i="2"/>
  <c r="B10" i="2"/>
  <c r="E10" i="2" s="1"/>
  <c r="C10" i="2"/>
  <c r="B9" i="2"/>
  <c r="E9" i="2" s="1"/>
  <c r="C9" i="2"/>
  <c r="B8" i="2"/>
  <c r="E8" i="2" s="1"/>
  <c r="C8" i="2"/>
  <c r="B7" i="2"/>
  <c r="F7" i="2" s="1"/>
  <c r="C7" i="2"/>
  <c r="H6" i="2"/>
  <c r="C6" i="2"/>
  <c r="X229" i="2" l="1"/>
  <c r="X225" i="2"/>
  <c r="X230" i="2"/>
  <c r="E230" i="2"/>
  <c r="I230" i="2"/>
  <c r="G230" i="2"/>
  <c r="J230" i="2"/>
  <c r="F230" i="2"/>
  <c r="W230" i="2"/>
  <c r="W229" i="2"/>
  <c r="G229" i="2"/>
  <c r="F229" i="2"/>
  <c r="E229" i="2"/>
  <c r="I229" i="2"/>
  <c r="J229" i="2"/>
  <c r="X228" i="2"/>
  <c r="G228" i="2"/>
  <c r="F228" i="2"/>
  <c r="E228" i="2"/>
  <c r="I228" i="2"/>
  <c r="W228" i="2"/>
  <c r="H228" i="2"/>
  <c r="X227" i="2"/>
  <c r="J227" i="2"/>
  <c r="F227" i="2"/>
  <c r="E227" i="2"/>
  <c r="I227" i="2"/>
  <c r="G227" i="2"/>
  <c r="W227" i="2"/>
  <c r="G225" i="2"/>
  <c r="F225" i="2"/>
  <c r="E225" i="2"/>
  <c r="W223" i="2"/>
  <c r="W225" i="2"/>
  <c r="I226" i="2"/>
  <c r="H226" i="2"/>
  <c r="G223" i="2"/>
  <c r="G226" i="2"/>
  <c r="F223" i="2"/>
  <c r="X226" i="2"/>
  <c r="F226" i="2"/>
  <c r="W226" i="2"/>
  <c r="E226" i="2"/>
  <c r="I225" i="2"/>
  <c r="J225" i="2"/>
  <c r="X223" i="2"/>
  <c r="X224" i="2"/>
  <c r="W224" i="2"/>
  <c r="J224" i="2"/>
  <c r="I224" i="2"/>
  <c r="F224" i="2"/>
  <c r="E224" i="2"/>
  <c r="H224" i="2"/>
  <c r="E221" i="2"/>
  <c r="X220" i="2"/>
  <c r="E223" i="2"/>
  <c r="I223" i="2"/>
  <c r="J223" i="2"/>
  <c r="F221" i="2"/>
  <c r="J222" i="2"/>
  <c r="X221" i="2"/>
  <c r="I222" i="2"/>
  <c r="H222" i="2"/>
  <c r="G222" i="2"/>
  <c r="J221" i="2"/>
  <c r="X222" i="2"/>
  <c r="F222" i="2"/>
  <c r="G221" i="2"/>
  <c r="W222" i="2"/>
  <c r="I221" i="2"/>
  <c r="W221" i="2"/>
  <c r="W220" i="2"/>
  <c r="G220" i="2"/>
  <c r="F220" i="2"/>
  <c r="E220" i="2"/>
  <c r="J220" i="2"/>
  <c r="I220" i="2"/>
  <c r="X219" i="2"/>
  <c r="G219" i="2"/>
  <c r="F219" i="2"/>
  <c r="W218" i="2"/>
  <c r="E219" i="2"/>
  <c r="I219" i="2"/>
  <c r="W219" i="2"/>
  <c r="J219" i="2"/>
  <c r="X218" i="2"/>
  <c r="J218" i="2"/>
  <c r="G218" i="2"/>
  <c r="F218" i="2"/>
  <c r="E218" i="2"/>
  <c r="I218" i="2"/>
  <c r="X216" i="2"/>
  <c r="X217" i="2"/>
  <c r="F217" i="2"/>
  <c r="E217" i="2"/>
  <c r="I217" i="2"/>
  <c r="W217" i="2"/>
  <c r="G217" i="2"/>
  <c r="H217" i="2"/>
  <c r="W216" i="2"/>
  <c r="J216" i="2"/>
  <c r="W215" i="2"/>
  <c r="F216" i="2"/>
  <c r="E216" i="2"/>
  <c r="I216" i="2"/>
  <c r="G216" i="2"/>
  <c r="X215" i="2"/>
  <c r="J215" i="2"/>
  <c r="G215" i="2"/>
  <c r="F215" i="2"/>
  <c r="E215" i="2"/>
  <c r="I215" i="2"/>
  <c r="X214" i="2"/>
  <c r="W214" i="2"/>
  <c r="F214" i="2"/>
  <c r="W213" i="2"/>
  <c r="E214" i="2"/>
  <c r="I214" i="2"/>
  <c r="G214" i="2"/>
  <c r="J214" i="2"/>
  <c r="X213" i="2"/>
  <c r="J213" i="2"/>
  <c r="G213" i="2"/>
  <c r="F213" i="2"/>
  <c r="X207" i="2"/>
  <c r="E213" i="2"/>
  <c r="I213" i="2"/>
  <c r="X212" i="2"/>
  <c r="W212" i="2"/>
  <c r="F212" i="2"/>
  <c r="W211" i="2"/>
  <c r="E212" i="2"/>
  <c r="I212" i="2"/>
  <c r="G212" i="2"/>
  <c r="J212" i="2"/>
  <c r="X211" i="2"/>
  <c r="J211" i="2"/>
  <c r="G211" i="2"/>
  <c r="F211" i="2"/>
  <c r="E211" i="2"/>
  <c r="I211" i="2"/>
  <c r="X210" i="2"/>
  <c r="W210" i="2"/>
  <c r="F210" i="2"/>
  <c r="E210" i="2"/>
  <c r="I210" i="2"/>
  <c r="G210" i="2"/>
  <c r="J210" i="2"/>
  <c r="X209" i="2"/>
  <c r="G209" i="2"/>
  <c r="F209" i="2"/>
  <c r="E209" i="2"/>
  <c r="I209" i="2"/>
  <c r="W209" i="2"/>
  <c r="X206" i="2"/>
  <c r="H209" i="2"/>
  <c r="J205" i="2"/>
  <c r="I208" i="2"/>
  <c r="G208" i="2"/>
  <c r="J208" i="2"/>
  <c r="F208" i="2"/>
  <c r="X208" i="2"/>
  <c r="E208" i="2"/>
  <c r="W208" i="2"/>
  <c r="W207" i="2"/>
  <c r="G207" i="2"/>
  <c r="F207" i="2"/>
  <c r="E207" i="2"/>
  <c r="I207" i="2"/>
  <c r="J207" i="2"/>
  <c r="J206" i="2"/>
  <c r="H206" i="2"/>
  <c r="F206" i="2"/>
  <c r="E206" i="2"/>
  <c r="I206" i="2"/>
  <c r="W206" i="2"/>
  <c r="X204" i="2"/>
  <c r="I205" i="2"/>
  <c r="H205" i="2"/>
  <c r="G205" i="2"/>
  <c r="W204" i="2"/>
  <c r="X205" i="2"/>
  <c r="F205" i="2"/>
  <c r="J204" i="2"/>
  <c r="W205" i="2"/>
  <c r="F204" i="2"/>
  <c r="E204" i="2"/>
  <c r="I204" i="2"/>
  <c r="G204" i="2"/>
  <c r="W201" i="2"/>
  <c r="F203" i="2"/>
  <c r="J203" i="2"/>
  <c r="I203" i="2"/>
  <c r="G203" i="2"/>
  <c r="X203" i="2"/>
  <c r="E203" i="2"/>
  <c r="W203" i="2"/>
  <c r="E201" i="2"/>
  <c r="I202" i="2"/>
  <c r="X201" i="2"/>
  <c r="H202" i="2"/>
  <c r="G202" i="2"/>
  <c r="J201" i="2"/>
  <c r="X202" i="2"/>
  <c r="F202" i="2"/>
  <c r="W200" i="2"/>
  <c r="G201" i="2"/>
  <c r="W202" i="2"/>
  <c r="E202" i="2"/>
  <c r="F201" i="2"/>
  <c r="I201" i="2"/>
  <c r="X200" i="2"/>
  <c r="J200" i="2"/>
  <c r="G200" i="2"/>
  <c r="F200" i="2"/>
  <c r="E200" i="2"/>
  <c r="I200" i="2"/>
  <c r="X199" i="2"/>
  <c r="I199" i="2"/>
  <c r="G199" i="2"/>
  <c r="F199" i="2"/>
  <c r="J199" i="2"/>
  <c r="I197" i="2"/>
  <c r="H199" i="2"/>
  <c r="J198" i="2"/>
  <c r="W199" i="2"/>
  <c r="I198" i="2"/>
  <c r="H198" i="2"/>
  <c r="X196" i="2"/>
  <c r="G198" i="2"/>
  <c r="X194" i="2"/>
  <c r="E196" i="2"/>
  <c r="X198" i="2"/>
  <c r="F198" i="2"/>
  <c r="W198" i="2"/>
  <c r="H197" i="2"/>
  <c r="G197" i="2"/>
  <c r="W196" i="2"/>
  <c r="X197" i="2"/>
  <c r="F197" i="2"/>
  <c r="G196" i="2"/>
  <c r="W197" i="2"/>
  <c r="E197" i="2"/>
  <c r="F196" i="2"/>
  <c r="I196" i="2"/>
  <c r="J196" i="2"/>
  <c r="W194" i="2"/>
  <c r="W195" i="2"/>
  <c r="G194" i="2"/>
  <c r="I195" i="2"/>
  <c r="W193" i="2"/>
  <c r="F194" i="2"/>
  <c r="H195" i="2"/>
  <c r="E194" i="2"/>
  <c r="E195" i="2"/>
  <c r="J195" i="2"/>
  <c r="G195" i="2"/>
  <c r="J194" i="2"/>
  <c r="X195" i="2"/>
  <c r="I194" i="2"/>
  <c r="X193" i="2"/>
  <c r="J193" i="2"/>
  <c r="G193" i="2"/>
  <c r="F193" i="2"/>
  <c r="W190" i="2"/>
  <c r="E193" i="2"/>
  <c r="I193" i="2"/>
  <c r="X192" i="2"/>
  <c r="W192" i="2"/>
  <c r="W188" i="2"/>
  <c r="E192" i="2"/>
  <c r="I192" i="2"/>
  <c r="J192" i="2"/>
  <c r="G192" i="2"/>
  <c r="F192" i="2"/>
  <c r="J191" i="2"/>
  <c r="I191" i="2"/>
  <c r="X190" i="2"/>
  <c r="H191" i="2"/>
  <c r="G191" i="2"/>
  <c r="J190" i="2"/>
  <c r="X191" i="2"/>
  <c r="F191" i="2"/>
  <c r="G190" i="2"/>
  <c r="W191" i="2"/>
  <c r="F190" i="2"/>
  <c r="E190" i="2"/>
  <c r="I190" i="2"/>
  <c r="G189" i="2"/>
  <c r="E189" i="2"/>
  <c r="J189" i="2"/>
  <c r="I189" i="2"/>
  <c r="W189" i="2"/>
  <c r="X188" i="2"/>
  <c r="H189" i="2"/>
  <c r="J188" i="2"/>
  <c r="X189" i="2"/>
  <c r="G188" i="2"/>
  <c r="F188" i="2"/>
  <c r="E188" i="2"/>
  <c r="I188" i="2"/>
  <c r="X186" i="2"/>
  <c r="X184" i="2"/>
  <c r="E186" i="2"/>
  <c r="I187" i="2"/>
  <c r="H187" i="2"/>
  <c r="G187" i="2"/>
  <c r="W186" i="2"/>
  <c r="X187" i="2"/>
  <c r="F187" i="2"/>
  <c r="G186" i="2"/>
  <c r="W187" i="2"/>
  <c r="E187" i="2"/>
  <c r="X185" i="2"/>
  <c r="F186" i="2"/>
  <c r="I186" i="2"/>
  <c r="J186" i="2"/>
  <c r="W185" i="2"/>
  <c r="G185" i="2"/>
  <c r="F185" i="2"/>
  <c r="W182" i="2"/>
  <c r="E185" i="2"/>
  <c r="I185" i="2"/>
  <c r="J185" i="2"/>
  <c r="W184" i="2"/>
  <c r="G184" i="2"/>
  <c r="G181" i="2"/>
  <c r="X183" i="2"/>
  <c r="F184" i="2"/>
  <c r="E184" i="2"/>
  <c r="I184" i="2"/>
  <c r="J184" i="2"/>
  <c r="X181" i="2"/>
  <c r="W183" i="2"/>
  <c r="G183" i="2"/>
  <c r="F183" i="2"/>
  <c r="E183" i="2"/>
  <c r="I183" i="2"/>
  <c r="J183" i="2"/>
  <c r="W181" i="2"/>
  <c r="X182" i="2"/>
  <c r="F181" i="2"/>
  <c r="J182" i="2"/>
  <c r="E181" i="2"/>
  <c r="H182" i="2"/>
  <c r="F182" i="2"/>
  <c r="E182" i="2"/>
  <c r="I182" i="2"/>
  <c r="W180" i="2"/>
  <c r="I181" i="2"/>
  <c r="E178" i="2"/>
  <c r="X180" i="2"/>
  <c r="H181" i="2"/>
  <c r="J180" i="2"/>
  <c r="X178" i="2"/>
  <c r="W179" i="2"/>
  <c r="G180" i="2"/>
  <c r="G178" i="2"/>
  <c r="F180" i="2"/>
  <c r="F178" i="2"/>
  <c r="E180" i="2"/>
  <c r="I180" i="2"/>
  <c r="W178" i="2"/>
  <c r="X179" i="2"/>
  <c r="J179" i="2"/>
  <c r="H179" i="2"/>
  <c r="F179" i="2"/>
  <c r="E179" i="2"/>
  <c r="I179" i="2"/>
  <c r="W177" i="2"/>
  <c r="J177" i="2"/>
  <c r="I178" i="2"/>
  <c r="J178" i="2"/>
  <c r="W175" i="2"/>
  <c r="X177" i="2"/>
  <c r="W176" i="2"/>
  <c r="G177" i="2"/>
  <c r="F177" i="2"/>
  <c r="W172" i="2"/>
  <c r="E177" i="2"/>
  <c r="I177" i="2"/>
  <c r="W174" i="2"/>
  <c r="X176" i="2"/>
  <c r="J176" i="2"/>
  <c r="G176" i="2"/>
  <c r="F176" i="2"/>
  <c r="E176" i="2"/>
  <c r="I176" i="2"/>
  <c r="X175" i="2"/>
  <c r="J175" i="2"/>
  <c r="G175" i="2"/>
  <c r="F175" i="2"/>
  <c r="E175" i="2"/>
  <c r="I175" i="2"/>
  <c r="X174" i="2"/>
  <c r="W170" i="2"/>
  <c r="J174" i="2"/>
  <c r="G174" i="2"/>
  <c r="F174" i="2"/>
  <c r="E174" i="2"/>
  <c r="I174" i="2"/>
  <c r="E173" i="2"/>
  <c r="W173" i="2"/>
  <c r="I173" i="2"/>
  <c r="G173" i="2"/>
  <c r="X173" i="2"/>
  <c r="J173" i="2"/>
  <c r="F173" i="2"/>
  <c r="X172" i="2"/>
  <c r="J172" i="2"/>
  <c r="G172" i="2"/>
  <c r="F172" i="2"/>
  <c r="E172" i="2"/>
  <c r="I172" i="2"/>
  <c r="G168" i="2"/>
  <c r="J171" i="2"/>
  <c r="I171" i="2"/>
  <c r="X170" i="2"/>
  <c r="H171" i="2"/>
  <c r="G171" i="2"/>
  <c r="J170" i="2"/>
  <c r="X171" i="2"/>
  <c r="F171" i="2"/>
  <c r="G170" i="2"/>
  <c r="W171" i="2"/>
  <c r="F170" i="2"/>
  <c r="E170" i="2"/>
  <c r="I170" i="2"/>
  <c r="W168" i="2"/>
  <c r="I169" i="2"/>
  <c r="X168" i="2"/>
  <c r="E169" i="2"/>
  <c r="W169" i="2"/>
  <c r="J169" i="2"/>
  <c r="X166" i="2"/>
  <c r="H169" i="2"/>
  <c r="F166" i="2"/>
  <c r="G169" i="2"/>
  <c r="J168" i="2"/>
  <c r="X169" i="2"/>
  <c r="F168" i="2"/>
  <c r="E168" i="2"/>
  <c r="I168" i="2"/>
  <c r="G166" i="2"/>
  <c r="X165" i="2"/>
  <c r="E166" i="2"/>
  <c r="W166" i="2"/>
  <c r="I167" i="2"/>
  <c r="H167" i="2"/>
  <c r="G167" i="2"/>
  <c r="X167" i="2"/>
  <c r="F167" i="2"/>
  <c r="W167" i="2"/>
  <c r="E167" i="2"/>
  <c r="I166" i="2"/>
  <c r="J166" i="2"/>
  <c r="X163" i="2"/>
  <c r="W165" i="2"/>
  <c r="G165" i="2"/>
  <c r="F165" i="2"/>
  <c r="E165" i="2"/>
  <c r="J165" i="2"/>
  <c r="I165" i="2"/>
  <c r="E163" i="2"/>
  <c r="W163" i="2"/>
  <c r="J164" i="2"/>
  <c r="G163" i="2"/>
  <c r="I164" i="2"/>
  <c r="F163" i="2"/>
  <c r="H164" i="2"/>
  <c r="G164" i="2"/>
  <c r="J163" i="2"/>
  <c r="X164" i="2"/>
  <c r="F164" i="2"/>
  <c r="W164" i="2"/>
  <c r="I163" i="2"/>
  <c r="W162" i="2"/>
  <c r="G162" i="2"/>
  <c r="F162" i="2"/>
  <c r="E162" i="2"/>
  <c r="I162" i="2"/>
  <c r="X162" i="2"/>
  <c r="H162" i="2"/>
  <c r="J161" i="2"/>
  <c r="W159" i="2"/>
  <c r="I161" i="2"/>
  <c r="H161" i="2"/>
  <c r="G161" i="2"/>
  <c r="X161" i="2"/>
  <c r="F161" i="2"/>
  <c r="W161" i="2"/>
  <c r="J160" i="2"/>
  <c r="I160" i="2"/>
  <c r="W157" i="2"/>
  <c r="X159" i="2"/>
  <c r="H160" i="2"/>
  <c r="G160" i="2"/>
  <c r="J159" i="2"/>
  <c r="X160" i="2"/>
  <c r="F160" i="2"/>
  <c r="W158" i="2"/>
  <c r="G159" i="2"/>
  <c r="W160" i="2"/>
  <c r="F159" i="2"/>
  <c r="E159" i="2"/>
  <c r="I159" i="2"/>
  <c r="X156" i="2"/>
  <c r="X158" i="2"/>
  <c r="J158" i="2"/>
  <c r="G158" i="2"/>
  <c r="F158" i="2"/>
  <c r="E158" i="2"/>
  <c r="I158" i="2"/>
  <c r="X157" i="2"/>
  <c r="X153" i="2"/>
  <c r="J153" i="2"/>
  <c r="J157" i="2"/>
  <c r="G157" i="2"/>
  <c r="F157" i="2"/>
  <c r="E157" i="2"/>
  <c r="I157" i="2"/>
  <c r="F153" i="2"/>
  <c r="W156" i="2"/>
  <c r="J156" i="2"/>
  <c r="F156" i="2"/>
  <c r="G153" i="2"/>
  <c r="E156" i="2"/>
  <c r="I156" i="2"/>
  <c r="G156" i="2"/>
  <c r="G151" i="2"/>
  <c r="X149" i="2"/>
  <c r="J155" i="2"/>
  <c r="G155" i="2"/>
  <c r="F155" i="2"/>
  <c r="I155" i="2"/>
  <c r="X155" i="2"/>
  <c r="E155" i="2"/>
  <c r="W155" i="2"/>
  <c r="W153" i="2"/>
  <c r="X151" i="2"/>
  <c r="W152" i="2"/>
  <c r="W151" i="2"/>
  <c r="E151" i="2"/>
  <c r="H154" i="2"/>
  <c r="F154" i="2"/>
  <c r="X154" i="2"/>
  <c r="E154" i="2"/>
  <c r="W154" i="2"/>
  <c r="J154" i="2"/>
  <c r="I154" i="2"/>
  <c r="J149" i="2"/>
  <c r="F149" i="2"/>
  <c r="X150" i="2"/>
  <c r="F151" i="2"/>
  <c r="E153" i="2"/>
  <c r="I153" i="2"/>
  <c r="J151" i="2"/>
  <c r="X152" i="2"/>
  <c r="J152" i="2"/>
  <c r="H152" i="2"/>
  <c r="F152" i="2"/>
  <c r="E152" i="2"/>
  <c r="I152" i="2"/>
  <c r="W149" i="2"/>
  <c r="J148" i="2"/>
  <c r="I149" i="2"/>
  <c r="I151" i="2"/>
  <c r="W148" i="2"/>
  <c r="W150" i="2"/>
  <c r="H150" i="2"/>
  <c r="F150" i="2"/>
  <c r="E150" i="2"/>
  <c r="I150" i="2"/>
  <c r="J150" i="2"/>
  <c r="G148" i="2"/>
  <c r="X147" i="2"/>
  <c r="F148" i="2"/>
  <c r="E148" i="2"/>
  <c r="E149" i="2"/>
  <c r="G146" i="2"/>
  <c r="X148" i="2"/>
  <c r="H149" i="2"/>
  <c r="W146" i="2"/>
  <c r="I148" i="2"/>
  <c r="J147" i="2"/>
  <c r="G147" i="2"/>
  <c r="F147" i="2"/>
  <c r="E147" i="2"/>
  <c r="I147" i="2"/>
  <c r="W147" i="2"/>
  <c r="W144" i="2"/>
  <c r="X146" i="2"/>
  <c r="E144" i="2"/>
  <c r="J146" i="2"/>
  <c r="F146" i="2"/>
  <c r="E146" i="2"/>
  <c r="I146" i="2"/>
  <c r="W141" i="2"/>
  <c r="I145" i="2"/>
  <c r="X144" i="2"/>
  <c r="H145" i="2"/>
  <c r="G145" i="2"/>
  <c r="J144" i="2"/>
  <c r="X145" i="2"/>
  <c r="F145" i="2"/>
  <c r="G144" i="2"/>
  <c r="W145" i="2"/>
  <c r="E145" i="2"/>
  <c r="F144" i="2"/>
  <c r="I144" i="2"/>
  <c r="I143" i="2"/>
  <c r="G143" i="2"/>
  <c r="E143" i="2"/>
  <c r="W143" i="2"/>
  <c r="J143" i="2"/>
  <c r="H143" i="2"/>
  <c r="X143" i="2"/>
  <c r="J142" i="2"/>
  <c r="I142" i="2"/>
  <c r="G142" i="2"/>
  <c r="X141" i="2"/>
  <c r="H142" i="2"/>
  <c r="X137" i="2"/>
  <c r="J141" i="2"/>
  <c r="X142" i="2"/>
  <c r="F142" i="2"/>
  <c r="G141" i="2"/>
  <c r="W142" i="2"/>
  <c r="F141" i="2"/>
  <c r="W138" i="2"/>
  <c r="E141" i="2"/>
  <c r="I141" i="2"/>
  <c r="E139" i="2"/>
  <c r="X140" i="2"/>
  <c r="X139" i="2"/>
  <c r="I140" i="2"/>
  <c r="X135" i="2"/>
  <c r="W139" i="2"/>
  <c r="F140" i="2"/>
  <c r="H140" i="2"/>
  <c r="G140" i="2"/>
  <c r="J139" i="2"/>
  <c r="W140" i="2"/>
  <c r="E140" i="2"/>
  <c r="F139" i="2"/>
  <c r="I139" i="2"/>
  <c r="G139" i="2"/>
  <c r="J134" i="2"/>
  <c r="W136" i="2"/>
  <c r="X138" i="2"/>
  <c r="J138" i="2"/>
  <c r="G138" i="2"/>
  <c r="F138" i="2"/>
  <c r="X134" i="2"/>
  <c r="E138" i="2"/>
  <c r="I138" i="2"/>
  <c r="W137" i="2"/>
  <c r="J137" i="2"/>
  <c r="F137" i="2"/>
  <c r="E137" i="2"/>
  <c r="I137" i="2"/>
  <c r="G137" i="2"/>
  <c r="F134" i="2"/>
  <c r="X136" i="2"/>
  <c r="J136" i="2"/>
  <c r="W134" i="2"/>
  <c r="G136" i="2"/>
  <c r="F136" i="2"/>
  <c r="W133" i="2"/>
  <c r="G134" i="2"/>
  <c r="E136" i="2"/>
  <c r="I136" i="2"/>
  <c r="W135" i="2"/>
  <c r="H135" i="2"/>
  <c r="F135" i="2"/>
  <c r="E135" i="2"/>
  <c r="J135" i="2"/>
  <c r="I135" i="2"/>
  <c r="E134" i="2"/>
  <c r="I134" i="2"/>
  <c r="X133" i="2"/>
  <c r="J133" i="2"/>
  <c r="G133" i="2"/>
  <c r="F133" i="2"/>
  <c r="E133" i="2"/>
  <c r="I133" i="2"/>
  <c r="W129" i="2"/>
  <c r="J132" i="2"/>
  <c r="H132" i="2"/>
  <c r="G132" i="2"/>
  <c r="X129" i="2"/>
  <c r="W131" i="2"/>
  <c r="E132" i="2"/>
  <c r="I132" i="2"/>
  <c r="W132" i="2"/>
  <c r="E129" i="2"/>
  <c r="X131" i="2"/>
  <c r="X132" i="2"/>
  <c r="F131" i="2"/>
  <c r="X130" i="2"/>
  <c r="E131" i="2"/>
  <c r="I131" i="2"/>
  <c r="J131" i="2"/>
  <c r="G131" i="2"/>
  <c r="W130" i="2"/>
  <c r="H130" i="2"/>
  <c r="F130" i="2"/>
  <c r="W128" i="2"/>
  <c r="E130" i="2"/>
  <c r="J130" i="2"/>
  <c r="I130" i="2"/>
  <c r="W126" i="2"/>
  <c r="I129" i="2"/>
  <c r="J129" i="2"/>
  <c r="G129" i="2"/>
  <c r="F129" i="2"/>
  <c r="X128" i="2"/>
  <c r="X124" i="2"/>
  <c r="J128" i="2"/>
  <c r="G128" i="2"/>
  <c r="F128" i="2"/>
  <c r="E128" i="2"/>
  <c r="I128" i="2"/>
  <c r="W125" i="2"/>
  <c r="G124" i="2"/>
  <c r="W127" i="2"/>
  <c r="I127" i="2"/>
  <c r="G127" i="2"/>
  <c r="F127" i="2"/>
  <c r="J127" i="2"/>
  <c r="X127" i="2"/>
  <c r="E127" i="2"/>
  <c r="E124" i="2"/>
  <c r="X126" i="2"/>
  <c r="J126" i="2"/>
  <c r="W124" i="2"/>
  <c r="G126" i="2"/>
  <c r="F126" i="2"/>
  <c r="F124" i="2"/>
  <c r="E126" i="2"/>
  <c r="I126" i="2"/>
  <c r="W123" i="2"/>
  <c r="J124" i="2"/>
  <c r="X125" i="2"/>
  <c r="J123" i="2"/>
  <c r="J125" i="2"/>
  <c r="H125" i="2"/>
  <c r="F125" i="2"/>
  <c r="E125" i="2"/>
  <c r="I125" i="2"/>
  <c r="I124" i="2"/>
  <c r="X123" i="2"/>
  <c r="X122" i="2"/>
  <c r="G123" i="2"/>
  <c r="F123" i="2"/>
  <c r="E123" i="2"/>
  <c r="I123" i="2"/>
  <c r="W122" i="2"/>
  <c r="G122" i="2"/>
  <c r="F122" i="2"/>
  <c r="E122" i="2"/>
  <c r="J122" i="2"/>
  <c r="I122" i="2"/>
  <c r="W120" i="2"/>
  <c r="I121" i="2"/>
  <c r="G121" i="2"/>
  <c r="E121" i="2"/>
  <c r="W121" i="2"/>
  <c r="J121" i="2"/>
  <c r="X120" i="2"/>
  <c r="H121" i="2"/>
  <c r="J120" i="2"/>
  <c r="X121" i="2"/>
  <c r="G120" i="2"/>
  <c r="F120" i="2"/>
  <c r="I117" i="2"/>
  <c r="E120" i="2"/>
  <c r="I120" i="2"/>
  <c r="E119" i="2"/>
  <c r="I119" i="2"/>
  <c r="G119" i="2"/>
  <c r="X119" i="2"/>
  <c r="W119" i="2"/>
  <c r="J119" i="2"/>
  <c r="F119" i="2"/>
  <c r="I118" i="2"/>
  <c r="H118" i="2"/>
  <c r="G118" i="2"/>
  <c r="W116" i="2"/>
  <c r="X118" i="2"/>
  <c r="F118" i="2"/>
  <c r="I114" i="2"/>
  <c r="W118" i="2"/>
  <c r="E118" i="2"/>
  <c r="W112" i="2"/>
  <c r="X116" i="2"/>
  <c r="H117" i="2"/>
  <c r="G117" i="2"/>
  <c r="J116" i="2"/>
  <c r="X117" i="2"/>
  <c r="F117" i="2"/>
  <c r="G116" i="2"/>
  <c r="W117" i="2"/>
  <c r="E117" i="2"/>
  <c r="F116" i="2"/>
  <c r="E116" i="2"/>
  <c r="I116" i="2"/>
  <c r="I115" i="2"/>
  <c r="H115" i="2"/>
  <c r="W108" i="2"/>
  <c r="G113" i="2"/>
  <c r="G115" i="2"/>
  <c r="F113" i="2"/>
  <c r="X115" i="2"/>
  <c r="F115" i="2"/>
  <c r="W115" i="2"/>
  <c r="E115" i="2"/>
  <c r="H114" i="2"/>
  <c r="G114" i="2"/>
  <c r="X113" i="2"/>
  <c r="X114" i="2"/>
  <c r="F114" i="2"/>
  <c r="I113" i="2"/>
  <c r="W114" i="2"/>
  <c r="E114" i="2"/>
  <c r="J113" i="2"/>
  <c r="X110" i="2"/>
  <c r="X112" i="2"/>
  <c r="H113" i="2"/>
  <c r="J112" i="2"/>
  <c r="W111" i="2"/>
  <c r="G112" i="2"/>
  <c r="W113" i="2"/>
  <c r="F112" i="2"/>
  <c r="E112" i="2"/>
  <c r="I112" i="2"/>
  <c r="W109" i="2"/>
  <c r="X111" i="2"/>
  <c r="J111" i="2"/>
  <c r="G111" i="2"/>
  <c r="F111" i="2"/>
  <c r="E111" i="2"/>
  <c r="I111" i="2"/>
  <c r="W105" i="2"/>
  <c r="W110" i="2"/>
  <c r="G110" i="2"/>
  <c r="F110" i="2"/>
  <c r="E110" i="2"/>
  <c r="J110" i="2"/>
  <c r="I110" i="2"/>
  <c r="X107" i="2"/>
  <c r="X109" i="2"/>
  <c r="J109" i="2"/>
  <c r="G109" i="2"/>
  <c r="F109" i="2"/>
  <c r="E109" i="2"/>
  <c r="I109" i="2"/>
  <c r="W106" i="2"/>
  <c r="X108" i="2"/>
  <c r="J108" i="2"/>
  <c r="G108" i="2"/>
  <c r="F108" i="2"/>
  <c r="E108" i="2"/>
  <c r="I108" i="2"/>
  <c r="W107" i="2"/>
  <c r="J107" i="2"/>
  <c r="F107" i="2"/>
  <c r="E107" i="2"/>
  <c r="I107" i="2"/>
  <c r="G107" i="2"/>
  <c r="W104" i="2"/>
  <c r="X106" i="2"/>
  <c r="J106" i="2"/>
  <c r="G106" i="2"/>
  <c r="F106" i="2"/>
  <c r="X104" i="2"/>
  <c r="E106" i="2"/>
  <c r="I106" i="2"/>
  <c r="X105" i="2"/>
  <c r="W102" i="2"/>
  <c r="J105" i="2"/>
  <c r="G105" i="2"/>
  <c r="F105" i="2"/>
  <c r="W103" i="2"/>
  <c r="E105" i="2"/>
  <c r="I105" i="2"/>
  <c r="W97" i="2"/>
  <c r="G104" i="2"/>
  <c r="X101" i="2"/>
  <c r="F104" i="2"/>
  <c r="E104" i="2"/>
  <c r="J104" i="2"/>
  <c r="I104" i="2"/>
  <c r="X103" i="2"/>
  <c r="J102" i="2"/>
  <c r="J103" i="2"/>
  <c r="G102" i="2"/>
  <c r="H103" i="2"/>
  <c r="F103" i="2"/>
  <c r="E103" i="2"/>
  <c r="I103" i="2"/>
  <c r="G97" i="2"/>
  <c r="X97" i="2"/>
  <c r="W101" i="2"/>
  <c r="E102" i="2"/>
  <c r="I102" i="2"/>
  <c r="H102" i="2"/>
  <c r="J101" i="2"/>
  <c r="X102" i="2"/>
  <c r="W100" i="2"/>
  <c r="G101" i="2"/>
  <c r="W98" i="2"/>
  <c r="F101" i="2"/>
  <c r="E101" i="2"/>
  <c r="I101" i="2"/>
  <c r="X100" i="2"/>
  <c r="J100" i="2"/>
  <c r="G100" i="2"/>
  <c r="F100" i="2"/>
  <c r="E100" i="2"/>
  <c r="I100" i="2"/>
  <c r="F98" i="2"/>
  <c r="W99" i="2"/>
  <c r="I99" i="2"/>
  <c r="J99" i="2"/>
  <c r="G99" i="2"/>
  <c r="F99" i="2"/>
  <c r="X99" i="2"/>
  <c r="E99" i="2"/>
  <c r="J97" i="2"/>
  <c r="X98" i="2"/>
  <c r="F97" i="2"/>
  <c r="J98" i="2"/>
  <c r="E97" i="2"/>
  <c r="H98" i="2"/>
  <c r="E98" i="2"/>
  <c r="I98" i="2"/>
  <c r="I97" i="2"/>
  <c r="I96" i="2"/>
  <c r="H96" i="2"/>
  <c r="G96" i="2"/>
  <c r="X95" i="2"/>
  <c r="X96" i="2"/>
  <c r="F96" i="2"/>
  <c r="G87" i="2"/>
  <c r="I95" i="2"/>
  <c r="W96" i="2"/>
  <c r="E96" i="2"/>
  <c r="G95" i="2"/>
  <c r="F95" i="2"/>
  <c r="J95" i="2"/>
  <c r="H95" i="2"/>
  <c r="X93" i="2"/>
  <c r="X94" i="2"/>
  <c r="W93" i="2"/>
  <c r="I94" i="2"/>
  <c r="W95" i="2"/>
  <c r="G93" i="2"/>
  <c r="F94" i="2"/>
  <c r="E93" i="2"/>
  <c r="E94" i="2"/>
  <c r="W94" i="2"/>
  <c r="E90" i="2"/>
  <c r="H94" i="2"/>
  <c r="G94" i="2"/>
  <c r="F93" i="2"/>
  <c r="G90" i="2"/>
  <c r="I93" i="2"/>
  <c r="H93" i="2"/>
  <c r="X92" i="2"/>
  <c r="W92" i="2"/>
  <c r="F92" i="2"/>
  <c r="E92" i="2"/>
  <c r="I92" i="2"/>
  <c r="J92" i="2"/>
  <c r="G92" i="2"/>
  <c r="W87" i="2"/>
  <c r="X87" i="2"/>
  <c r="I91" i="2"/>
  <c r="H91" i="2"/>
  <c r="J91" i="2"/>
  <c r="G91" i="2"/>
  <c r="X91" i="2"/>
  <c r="F91" i="2"/>
  <c r="E84" i="2"/>
  <c r="X88" i="2"/>
  <c r="W90" i="2"/>
  <c r="W91" i="2"/>
  <c r="E88" i="2"/>
  <c r="J90" i="2"/>
  <c r="I90" i="2"/>
  <c r="G84" i="2"/>
  <c r="E87" i="2"/>
  <c r="F88" i="2"/>
  <c r="H90" i="2"/>
  <c r="X90" i="2"/>
  <c r="J88" i="2"/>
  <c r="J89" i="2"/>
  <c r="J84" i="2"/>
  <c r="F87" i="2"/>
  <c r="H88" i="2"/>
  <c r="I89" i="2"/>
  <c r="H89" i="2"/>
  <c r="J87" i="2"/>
  <c r="G89" i="2"/>
  <c r="X89" i="2"/>
  <c r="F89" i="2"/>
  <c r="W89" i="2"/>
  <c r="I88" i="2"/>
  <c r="W88" i="2"/>
  <c r="I87" i="2"/>
  <c r="X84" i="2"/>
  <c r="X86" i="2"/>
  <c r="I86" i="2"/>
  <c r="G86" i="2"/>
  <c r="F86" i="2"/>
  <c r="J86" i="2"/>
  <c r="F84" i="2"/>
  <c r="H86" i="2"/>
  <c r="W86" i="2"/>
  <c r="I85" i="2"/>
  <c r="H85" i="2"/>
  <c r="X82" i="2"/>
  <c r="G85" i="2"/>
  <c r="X85" i="2"/>
  <c r="F85" i="2"/>
  <c r="W85" i="2"/>
  <c r="E85" i="2"/>
  <c r="W83" i="2"/>
  <c r="I84" i="2"/>
  <c r="W84" i="2"/>
  <c r="X83" i="2"/>
  <c r="J83" i="2"/>
  <c r="G83" i="2"/>
  <c r="F83" i="2"/>
  <c r="E83" i="2"/>
  <c r="I83" i="2"/>
  <c r="W82" i="2"/>
  <c r="G82" i="2"/>
  <c r="X81" i="2"/>
  <c r="F82" i="2"/>
  <c r="E82" i="2"/>
  <c r="J82" i="2"/>
  <c r="I82" i="2"/>
  <c r="W81" i="2"/>
  <c r="G81" i="2"/>
  <c r="F81" i="2"/>
  <c r="E81" i="2"/>
  <c r="I81" i="2"/>
  <c r="H81" i="2"/>
  <c r="W80" i="2"/>
  <c r="G80" i="2"/>
  <c r="F80" i="2"/>
  <c r="X79" i="2"/>
  <c r="E80" i="2"/>
  <c r="I80" i="2"/>
  <c r="X80" i="2"/>
  <c r="H80" i="2"/>
  <c r="J79" i="2"/>
  <c r="G79" i="2"/>
  <c r="E75" i="2"/>
  <c r="F79" i="2"/>
  <c r="E79" i="2"/>
  <c r="I79" i="2"/>
  <c r="W79" i="2"/>
  <c r="W75" i="2"/>
  <c r="W78" i="2"/>
  <c r="I78" i="2"/>
  <c r="G78" i="2"/>
  <c r="X75" i="2"/>
  <c r="E78" i="2"/>
  <c r="J78" i="2"/>
  <c r="F75" i="2"/>
  <c r="H78" i="2"/>
  <c r="X78" i="2"/>
  <c r="G75" i="2"/>
  <c r="W77" i="2"/>
  <c r="J77" i="2"/>
  <c r="E77" i="2"/>
  <c r="I77" i="2"/>
  <c r="G77" i="2"/>
  <c r="F72" i="2"/>
  <c r="H77" i="2"/>
  <c r="X77" i="2"/>
  <c r="J76" i="2"/>
  <c r="I76" i="2"/>
  <c r="X72" i="2"/>
  <c r="W74" i="2"/>
  <c r="E76" i="2"/>
  <c r="W76" i="2"/>
  <c r="H76" i="2"/>
  <c r="G76" i="2"/>
  <c r="J75" i="2"/>
  <c r="X76" i="2"/>
  <c r="I75" i="2"/>
  <c r="G72" i="2"/>
  <c r="X74" i="2"/>
  <c r="J74" i="2"/>
  <c r="G74" i="2"/>
  <c r="F74" i="2"/>
  <c r="J72" i="2"/>
  <c r="E74" i="2"/>
  <c r="I74" i="2"/>
  <c r="W72" i="2"/>
  <c r="J73" i="2"/>
  <c r="X73" i="2"/>
  <c r="I73" i="2"/>
  <c r="W73" i="2"/>
  <c r="F73" i="2"/>
  <c r="E73" i="2"/>
  <c r="X70" i="2"/>
  <c r="H73" i="2"/>
  <c r="E70" i="2"/>
  <c r="E72" i="2"/>
  <c r="I72" i="2"/>
  <c r="F70" i="2"/>
  <c r="W70" i="2"/>
  <c r="I71" i="2"/>
  <c r="G70" i="2"/>
  <c r="H71" i="2"/>
  <c r="J71" i="2"/>
  <c r="G71" i="2"/>
  <c r="X71" i="2"/>
  <c r="F71" i="2"/>
  <c r="W71" i="2"/>
  <c r="X69" i="2"/>
  <c r="J70" i="2"/>
  <c r="I70" i="2"/>
  <c r="X66" i="2"/>
  <c r="W69" i="2"/>
  <c r="G69" i="2"/>
  <c r="F69" i="2"/>
  <c r="E69" i="2"/>
  <c r="J69" i="2"/>
  <c r="I69" i="2"/>
  <c r="E67" i="2"/>
  <c r="W68" i="2"/>
  <c r="I67" i="2"/>
  <c r="H68" i="2"/>
  <c r="F67" i="2"/>
  <c r="E68" i="2"/>
  <c r="J68" i="2"/>
  <c r="I68" i="2"/>
  <c r="G68" i="2"/>
  <c r="X67" i="2"/>
  <c r="X68" i="2"/>
  <c r="F64" i="2"/>
  <c r="F66" i="2"/>
  <c r="W67" i="2"/>
  <c r="J67" i="2"/>
  <c r="H67" i="2"/>
  <c r="E66" i="2"/>
  <c r="J66" i="2"/>
  <c r="W66" i="2"/>
  <c r="I66" i="2"/>
  <c r="H66" i="2"/>
  <c r="X54" i="2"/>
  <c r="I65" i="2"/>
  <c r="X65" i="2"/>
  <c r="F65" i="2"/>
  <c r="J65" i="2"/>
  <c r="H65" i="2"/>
  <c r="G65" i="2"/>
  <c r="X60" i="2"/>
  <c r="W65" i="2"/>
  <c r="X64" i="2"/>
  <c r="I64" i="2"/>
  <c r="G64" i="2"/>
  <c r="E60" i="2"/>
  <c r="H64" i="2"/>
  <c r="X63" i="2"/>
  <c r="W60" i="2"/>
  <c r="I63" i="2"/>
  <c r="W64" i="2"/>
  <c r="E64" i="2"/>
  <c r="J60" i="2"/>
  <c r="G63" i="2"/>
  <c r="F60" i="2"/>
  <c r="W62" i="2"/>
  <c r="F63" i="2"/>
  <c r="J63" i="2"/>
  <c r="E56" i="2"/>
  <c r="X62" i="2"/>
  <c r="H63" i="2"/>
  <c r="J62" i="2"/>
  <c r="G62" i="2"/>
  <c r="W63" i="2"/>
  <c r="F62" i="2"/>
  <c r="E62" i="2"/>
  <c r="I62" i="2"/>
  <c r="W56" i="2"/>
  <c r="X58" i="2"/>
  <c r="I61" i="2"/>
  <c r="H61" i="2"/>
  <c r="F61" i="2"/>
  <c r="X61" i="2"/>
  <c r="J61" i="2"/>
  <c r="G61" i="2"/>
  <c r="W59" i="2"/>
  <c r="G60" i="2"/>
  <c r="W61" i="2"/>
  <c r="I60" i="2"/>
  <c r="X59" i="2"/>
  <c r="J59" i="2"/>
  <c r="G59" i="2"/>
  <c r="F59" i="2"/>
  <c r="E59" i="2"/>
  <c r="I59" i="2"/>
  <c r="X56" i="2"/>
  <c r="W58" i="2"/>
  <c r="G58" i="2"/>
  <c r="F58" i="2"/>
  <c r="E58" i="2"/>
  <c r="J58" i="2"/>
  <c r="I58" i="2"/>
  <c r="F56" i="2"/>
  <c r="J56" i="2"/>
  <c r="I57" i="2"/>
  <c r="G56" i="2"/>
  <c r="H57" i="2"/>
  <c r="J57" i="2"/>
  <c r="G57" i="2"/>
  <c r="X57" i="2"/>
  <c r="F57" i="2"/>
  <c r="W55" i="2"/>
  <c r="W57" i="2"/>
  <c r="I56" i="2"/>
  <c r="G53" i="2"/>
  <c r="X55" i="2"/>
  <c r="J55" i="2"/>
  <c r="G55" i="2"/>
  <c r="F55" i="2"/>
  <c r="W53" i="2"/>
  <c r="E55" i="2"/>
  <c r="I55" i="2"/>
  <c r="J52" i="2"/>
  <c r="W54" i="2"/>
  <c r="G54" i="2"/>
  <c r="F54" i="2"/>
  <c r="E54" i="2"/>
  <c r="I54" i="2"/>
  <c r="X53" i="2"/>
  <c r="H54" i="2"/>
  <c r="J53" i="2"/>
  <c r="F53" i="2"/>
  <c r="E53" i="2"/>
  <c r="I53" i="2"/>
  <c r="I52" i="2"/>
  <c r="X50" i="2"/>
  <c r="H52" i="2"/>
  <c r="I50" i="2"/>
  <c r="G52" i="2"/>
  <c r="F50" i="2"/>
  <c r="X52" i="2"/>
  <c r="F52" i="2"/>
  <c r="E46" i="2"/>
  <c r="E50" i="2"/>
  <c r="W52" i="2"/>
  <c r="I51" i="2"/>
  <c r="H51" i="2"/>
  <c r="W49" i="2"/>
  <c r="G51" i="2"/>
  <c r="J49" i="2"/>
  <c r="W50" i="2"/>
  <c r="X51" i="2"/>
  <c r="F51" i="2"/>
  <c r="G49" i="2"/>
  <c r="W51" i="2"/>
  <c r="E51" i="2"/>
  <c r="G46" i="2"/>
  <c r="X48" i="2"/>
  <c r="F49" i="2"/>
  <c r="J50" i="2"/>
  <c r="X49" i="2"/>
  <c r="H50" i="2"/>
  <c r="E49" i="2"/>
  <c r="I49" i="2"/>
  <c r="W48" i="2"/>
  <c r="G48" i="2"/>
  <c r="F48" i="2"/>
  <c r="E48" i="2"/>
  <c r="J48" i="2"/>
  <c r="I48" i="2"/>
  <c r="I46" i="2"/>
  <c r="W46" i="2"/>
  <c r="I47" i="2"/>
  <c r="H47" i="2"/>
  <c r="G47" i="2"/>
  <c r="X47" i="2"/>
  <c r="F47" i="2"/>
  <c r="W47" i="2"/>
  <c r="E47" i="2"/>
  <c r="J46" i="2"/>
  <c r="X45" i="2"/>
  <c r="H46" i="2"/>
  <c r="W45" i="2"/>
  <c r="J45" i="2"/>
  <c r="X46" i="2"/>
  <c r="G45" i="2"/>
  <c r="F45" i="2"/>
  <c r="I42" i="2"/>
  <c r="E45" i="2"/>
  <c r="I45" i="2"/>
  <c r="W42" i="2"/>
  <c r="X42" i="2"/>
  <c r="I44" i="2"/>
  <c r="H44" i="2"/>
  <c r="G44" i="2"/>
  <c r="F42" i="2"/>
  <c r="X44" i="2"/>
  <c r="F44" i="2"/>
  <c r="E42" i="2"/>
  <c r="W44" i="2"/>
  <c r="E44" i="2"/>
  <c r="E43" i="2"/>
  <c r="X43" i="2"/>
  <c r="W43" i="2"/>
  <c r="J43" i="2"/>
  <c r="I43" i="2"/>
  <c r="F43" i="2"/>
  <c r="H43" i="2"/>
  <c r="J42" i="2"/>
  <c r="H42" i="2"/>
  <c r="E41" i="2"/>
  <c r="W41" i="2"/>
  <c r="J41" i="2"/>
  <c r="I41" i="2"/>
  <c r="H41" i="2"/>
  <c r="G41" i="2"/>
  <c r="X41" i="2"/>
  <c r="I40" i="2"/>
  <c r="H40" i="2"/>
  <c r="G40" i="2"/>
  <c r="X40" i="2"/>
  <c r="F40" i="2"/>
  <c r="W40" i="2"/>
  <c r="E40" i="2"/>
  <c r="J39" i="2"/>
  <c r="I39" i="2"/>
  <c r="E39" i="2"/>
  <c r="W39" i="2"/>
  <c r="G39" i="2"/>
  <c r="H39" i="2"/>
  <c r="X37" i="2"/>
  <c r="X39" i="2"/>
  <c r="I38" i="2"/>
  <c r="E38" i="2"/>
  <c r="W38" i="2"/>
  <c r="J38" i="2"/>
  <c r="G38" i="2"/>
  <c r="F36" i="2"/>
  <c r="H38" i="2"/>
  <c r="E36" i="2"/>
  <c r="X38" i="2"/>
  <c r="X36" i="2"/>
  <c r="E37" i="2"/>
  <c r="W37" i="2"/>
  <c r="J37" i="2"/>
  <c r="I37" i="2"/>
  <c r="F37" i="2"/>
  <c r="G35" i="2"/>
  <c r="H37" i="2"/>
  <c r="J35" i="2"/>
  <c r="W36" i="2"/>
  <c r="J36" i="2"/>
  <c r="I36" i="2"/>
  <c r="H36" i="2"/>
  <c r="W35" i="2"/>
  <c r="X33" i="2"/>
  <c r="E31" i="2"/>
  <c r="F33" i="2"/>
  <c r="E34" i="2"/>
  <c r="I35" i="2"/>
  <c r="E33" i="2"/>
  <c r="H35" i="2"/>
  <c r="X35" i="2"/>
  <c r="F35" i="2"/>
  <c r="X34" i="2"/>
  <c r="F31" i="2"/>
  <c r="F34" i="2"/>
  <c r="J34" i="2"/>
  <c r="W34" i="2"/>
  <c r="I34" i="2"/>
  <c r="H34" i="2"/>
  <c r="J33" i="2"/>
  <c r="W33" i="2"/>
  <c r="I33" i="2"/>
  <c r="H33" i="2"/>
  <c r="J32" i="2"/>
  <c r="X30" i="2"/>
  <c r="H32" i="2"/>
  <c r="G32" i="2"/>
  <c r="X32" i="2"/>
  <c r="F32" i="2"/>
  <c r="X31" i="2"/>
  <c r="W32" i="2"/>
  <c r="E32" i="2"/>
  <c r="J31" i="2"/>
  <c r="W31" i="2"/>
  <c r="G31" i="2"/>
  <c r="E30" i="2"/>
  <c r="I31" i="2"/>
  <c r="W30" i="2"/>
  <c r="F30" i="2"/>
  <c r="G30" i="2"/>
  <c r="J30" i="2"/>
  <c r="I30" i="2"/>
  <c r="J29" i="2"/>
  <c r="I29" i="2"/>
  <c r="W29" i="2"/>
  <c r="F29" i="2"/>
  <c r="H29" i="2"/>
  <c r="X29" i="2"/>
  <c r="E29" i="2"/>
  <c r="J28" i="2"/>
  <c r="I28" i="2"/>
  <c r="H28" i="2"/>
  <c r="G28" i="2"/>
  <c r="X28" i="2"/>
  <c r="F28" i="2"/>
  <c r="W28" i="2"/>
  <c r="J27" i="2"/>
  <c r="I27" i="2"/>
  <c r="H27" i="2"/>
  <c r="G27" i="2"/>
  <c r="X27" i="2"/>
  <c r="F27" i="2"/>
  <c r="W27" i="2"/>
  <c r="J26" i="2"/>
  <c r="I26" i="2"/>
  <c r="H26" i="2"/>
  <c r="G26" i="2"/>
  <c r="X26" i="2"/>
  <c r="F26" i="2"/>
  <c r="W26" i="2"/>
  <c r="I25" i="2"/>
  <c r="H25" i="2"/>
  <c r="G25" i="2"/>
  <c r="X25" i="2"/>
  <c r="F25" i="2"/>
  <c r="W25" i="2"/>
  <c r="E25" i="2"/>
  <c r="W24" i="2"/>
  <c r="J24" i="2"/>
  <c r="I24" i="2"/>
  <c r="E24" i="2"/>
  <c r="H24" i="2"/>
  <c r="G24" i="2"/>
  <c r="X24" i="2"/>
  <c r="J23" i="2"/>
  <c r="I23" i="2"/>
  <c r="H23" i="2"/>
  <c r="G23" i="2"/>
  <c r="J21" i="2"/>
  <c r="X23" i="2"/>
  <c r="F23" i="2"/>
  <c r="I21" i="2"/>
  <c r="W23" i="2"/>
  <c r="J22" i="2"/>
  <c r="I22" i="2"/>
  <c r="H22" i="2"/>
  <c r="G22" i="2"/>
  <c r="X22" i="2"/>
  <c r="F22" i="2"/>
  <c r="W22" i="2"/>
  <c r="H21" i="2"/>
  <c r="G21" i="2"/>
  <c r="X21" i="2"/>
  <c r="F21" i="2"/>
  <c r="W21" i="2"/>
  <c r="J20" i="2"/>
  <c r="I20" i="2"/>
  <c r="H20" i="2"/>
  <c r="G20" i="2"/>
  <c r="X20" i="2"/>
  <c r="F20" i="2"/>
  <c r="W20" i="2"/>
  <c r="J19" i="2"/>
  <c r="I19" i="2"/>
  <c r="H19" i="2"/>
  <c r="G19" i="2"/>
  <c r="X19" i="2"/>
  <c r="F19" i="2"/>
  <c r="W19" i="2"/>
  <c r="J18" i="2"/>
  <c r="I18" i="2"/>
  <c r="H18" i="2"/>
  <c r="G18" i="2"/>
  <c r="X18" i="2"/>
  <c r="F18" i="2"/>
  <c r="W18" i="2"/>
  <c r="J17" i="2"/>
  <c r="I17" i="2"/>
  <c r="H17" i="2"/>
  <c r="G17" i="2"/>
  <c r="X17" i="2"/>
  <c r="F17" i="2"/>
  <c r="W17" i="2"/>
  <c r="J16" i="2"/>
  <c r="I16" i="2"/>
  <c r="H16" i="2"/>
  <c r="G16" i="2"/>
  <c r="X16" i="2"/>
  <c r="F16" i="2"/>
  <c r="W16" i="2"/>
  <c r="J15" i="2"/>
  <c r="I15" i="2"/>
  <c r="H15" i="2"/>
  <c r="G15" i="2"/>
  <c r="X15" i="2"/>
  <c r="F15" i="2"/>
  <c r="W15" i="2"/>
  <c r="J14" i="2"/>
  <c r="I14" i="2"/>
  <c r="H14" i="2"/>
  <c r="G14" i="2"/>
  <c r="X14" i="2"/>
  <c r="F14" i="2"/>
  <c r="W14" i="2"/>
  <c r="J13" i="2"/>
  <c r="G13" i="2"/>
  <c r="X13" i="2"/>
  <c r="F13" i="2"/>
  <c r="I13" i="2"/>
  <c r="H13" i="2"/>
  <c r="W13" i="2"/>
  <c r="J12" i="2"/>
  <c r="I12" i="2"/>
  <c r="H12" i="2"/>
  <c r="G12" i="2"/>
  <c r="X12" i="2"/>
  <c r="F12" i="2"/>
  <c r="W12" i="2"/>
  <c r="J11" i="2"/>
  <c r="I11" i="2"/>
  <c r="H11" i="2"/>
  <c r="X11" i="2"/>
  <c r="F11" i="2"/>
  <c r="G11" i="2"/>
  <c r="W11" i="2"/>
  <c r="J10" i="2"/>
  <c r="H10" i="2"/>
  <c r="X10" i="2"/>
  <c r="F10" i="2"/>
  <c r="I10" i="2"/>
  <c r="G10" i="2"/>
  <c r="W10" i="2"/>
  <c r="I9" i="2"/>
  <c r="H9" i="2"/>
  <c r="X9" i="2"/>
  <c r="F9" i="2"/>
  <c r="J9" i="2"/>
  <c r="G9" i="2"/>
  <c r="W9" i="2"/>
  <c r="J8" i="2"/>
  <c r="H8" i="2"/>
  <c r="I8" i="2"/>
  <c r="G8" i="2"/>
  <c r="F8" i="2"/>
  <c r="X8" i="2"/>
  <c r="X6" i="2"/>
  <c r="W8" i="2"/>
  <c r="W7" i="2"/>
  <c r="E7" i="2"/>
  <c r="H7" i="2"/>
  <c r="J7" i="2"/>
  <c r="G7" i="2"/>
  <c r="E6" i="2"/>
  <c r="I7" i="2"/>
  <c r="X7" i="2"/>
  <c r="J6" i="2"/>
  <c r="W6" i="2"/>
  <c r="G6" i="2"/>
  <c r="F6" i="2"/>
  <c r="I6" i="2"/>
  <c r="A149" i="1"/>
  <c r="A194" i="1"/>
  <c r="A208" i="1"/>
  <c r="A205" i="1"/>
  <c r="A198" i="1"/>
  <c r="A196" i="1"/>
  <c r="A276" i="1"/>
  <c r="A275" i="1"/>
  <c r="A274" i="1"/>
  <c r="A273" i="1"/>
  <c r="A235" i="1"/>
  <c r="A234" i="1"/>
  <c r="A233" i="1"/>
  <c r="A232" i="1"/>
  <c r="A212" i="1"/>
  <c r="A211" i="1"/>
  <c r="A210" i="1"/>
  <c r="A187" i="1"/>
  <c r="A186" i="1"/>
  <c r="A169" i="1"/>
  <c r="A134" i="1"/>
  <c r="A110" i="1"/>
  <c r="A207" i="1"/>
  <c r="A204" i="1"/>
  <c r="A160" i="1"/>
  <c r="A156" i="1"/>
  <c r="A107" i="1"/>
  <c r="A93" i="1"/>
  <c r="A90" i="1"/>
  <c r="A81" i="1"/>
  <c r="A148" i="1"/>
  <c r="A67" i="1"/>
  <c r="A15" i="1"/>
  <c r="D200" i="3" l="1"/>
  <c r="A365" i="1" l="1"/>
  <c r="A366" i="1"/>
  <c r="A367" i="1"/>
  <c r="A368" i="1"/>
  <c r="A369" i="1"/>
  <c r="A364" i="1"/>
  <c r="A363" i="1"/>
  <c r="A362" i="1"/>
  <c r="A97" i="1"/>
  <c r="A114" i="1"/>
  <c r="A361" i="1"/>
  <c r="A360" i="1"/>
  <c r="A359" i="1"/>
  <c r="A356" i="1"/>
  <c r="A357" i="1"/>
  <c r="A358" i="1"/>
  <c r="A280" i="1"/>
  <c r="A281" i="1"/>
  <c r="A282" i="1"/>
  <c r="A349" i="1"/>
  <c r="A350" i="1"/>
  <c r="A351" i="1"/>
  <c r="A352" i="1"/>
  <c r="A353" i="1"/>
  <c r="A354" i="1"/>
  <c r="A355" i="1"/>
  <c r="A279" i="1"/>
  <c r="A278" i="1"/>
  <c r="A277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20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42" i="1" l="1"/>
  <c r="A241" i="1"/>
  <c r="A240" i="1"/>
  <c r="A237" i="1"/>
  <c r="A238" i="1"/>
  <c r="A239" i="1"/>
  <c r="A236" i="1"/>
  <c r="A231" i="1"/>
  <c r="A227" i="1"/>
  <c r="A228" i="1"/>
  <c r="A229" i="1"/>
  <c r="A230" i="1"/>
  <c r="A223" i="1"/>
  <c r="A224" i="1"/>
  <c r="A225" i="1"/>
  <c r="A226" i="1"/>
  <c r="A219" i="1"/>
  <c r="A220" i="1"/>
  <c r="A221" i="1"/>
  <c r="A222" i="1"/>
  <c r="A216" i="1"/>
  <c r="A217" i="1"/>
  <c r="A218" i="1"/>
  <c r="A215" i="1"/>
  <c r="A214" i="1"/>
  <c r="A213" i="1"/>
  <c r="A209" i="1"/>
  <c r="A206" i="1"/>
  <c r="A203" i="1"/>
  <c r="A202" i="1"/>
  <c r="A201" i="1"/>
  <c r="A200" i="1"/>
  <c r="A199" i="1"/>
  <c r="A197" i="1"/>
  <c r="A195" i="1"/>
  <c r="A193" i="1"/>
  <c r="A192" i="1"/>
  <c r="A191" i="1"/>
  <c r="A190" i="1"/>
  <c r="A189" i="1"/>
  <c r="A188" i="1"/>
  <c r="A185" i="1"/>
  <c r="A180" i="1"/>
  <c r="A181" i="1"/>
  <c r="A182" i="1"/>
  <c r="A183" i="1"/>
  <c r="A184" i="1"/>
  <c r="A175" i="1"/>
  <c r="A176" i="1"/>
  <c r="A177" i="1"/>
  <c r="A178" i="1"/>
  <c r="A179" i="1"/>
  <c r="A171" i="1"/>
  <c r="A172" i="1"/>
  <c r="A173" i="1"/>
  <c r="A174" i="1"/>
  <c r="A170" i="1"/>
  <c r="A168" i="1"/>
  <c r="A167" i="1"/>
  <c r="A166" i="1"/>
  <c r="A165" i="1"/>
  <c r="A164" i="1"/>
  <c r="A163" i="1"/>
  <c r="A162" i="1"/>
  <c r="A161" i="1"/>
  <c r="A158" i="1"/>
  <c r="A159" i="1"/>
  <c r="A157" i="1"/>
  <c r="A155" i="1"/>
  <c r="A154" i="1"/>
  <c r="A153" i="1"/>
  <c r="A152" i="1"/>
  <c r="A151" i="1"/>
  <c r="A150" i="1"/>
  <c r="A147" i="1"/>
  <c r="A146" i="1"/>
  <c r="A145" i="1"/>
  <c r="A144" i="1"/>
  <c r="A143" i="1"/>
  <c r="A142" i="1"/>
  <c r="A141" i="1"/>
  <c r="A139" i="1"/>
  <c r="A140" i="1"/>
  <c r="A137" i="1"/>
  <c r="A138" i="1"/>
  <c r="A136" i="1"/>
  <c r="A135" i="1"/>
  <c r="A133" i="1"/>
  <c r="A132" i="1"/>
  <c r="A131" i="1"/>
  <c r="A130" i="1"/>
  <c r="A129" i="1"/>
  <c r="A128" i="1"/>
  <c r="A127" i="1"/>
  <c r="A126" i="1"/>
  <c r="A125" i="1"/>
  <c r="A124" i="1"/>
  <c r="A120" i="1"/>
  <c r="A121" i="1"/>
  <c r="A122" i="1"/>
  <c r="A123" i="1"/>
  <c r="A119" i="1"/>
  <c r="A118" i="1"/>
  <c r="A117" i="1"/>
  <c r="A116" i="1"/>
  <c r="A115" i="1"/>
  <c r="A113" i="1"/>
  <c r="A112" i="1"/>
  <c r="A111" i="1"/>
  <c r="A109" i="1"/>
  <c r="A108" i="1"/>
  <c r="A106" i="1"/>
  <c r="A105" i="1"/>
  <c r="A101" i="1"/>
  <c r="A102" i="1"/>
  <c r="A103" i="1"/>
  <c r="A104" i="1"/>
  <c r="A100" i="1"/>
  <c r="A99" i="1"/>
  <c r="A98" i="1"/>
  <c r="A96" i="1"/>
  <c r="A95" i="1"/>
  <c r="A94" i="1"/>
  <c r="A92" i="1"/>
  <c r="A91" i="1"/>
  <c r="A89" i="1"/>
  <c r="A88" i="1"/>
  <c r="A85" i="1"/>
  <c r="A86" i="1"/>
  <c r="A87" i="1"/>
  <c r="A84" i="1"/>
  <c r="A83" i="1"/>
  <c r="A82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6" i="1"/>
  <c r="A65" i="1"/>
  <c r="A64" i="1"/>
  <c r="A59" i="1"/>
  <c r="A60" i="1"/>
  <c r="A61" i="1"/>
  <c r="A62" i="1"/>
  <c r="A63" i="1"/>
  <c r="A54" i="1"/>
  <c r="A55" i="1"/>
  <c r="A56" i="1"/>
  <c r="A57" i="1"/>
  <c r="A58" i="1"/>
  <c r="A53" i="1"/>
  <c r="A52" i="1"/>
  <c r="A51" i="1"/>
  <c r="A50" i="1"/>
  <c r="A49" i="1"/>
  <c r="A48" i="1"/>
  <c r="A47" i="1"/>
  <c r="A43" i="1"/>
  <c r="A44" i="1"/>
  <c r="A45" i="1"/>
  <c r="A46" i="1"/>
  <c r="A42" i="1"/>
  <c r="A41" i="1"/>
  <c r="A40" i="1"/>
  <c r="A39" i="1"/>
  <c r="A38" i="1"/>
  <c r="A37" i="1"/>
  <c r="A36" i="1"/>
  <c r="A35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</calcChain>
</file>

<file path=xl/sharedStrings.xml><?xml version="1.0" encoding="utf-8"?>
<sst xmlns="http://schemas.openxmlformats.org/spreadsheetml/2006/main" count="3487" uniqueCount="883">
  <si>
    <t>Mã thiết bị</t>
  </si>
  <si>
    <t>Tháng</t>
  </si>
  <si>
    <t>Công việc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</si>
  <si>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</si>
  <si>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</si>
  <si>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</si>
  <si>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</si>
  <si>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</si>
  <si>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</si>
  <si>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</si>
  <si>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</si>
  <si>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</si>
  <si>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</si>
  <si>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</si>
  <si>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</si>
  <si>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HC</t>
  </si>
  <si>
    <t>BT</t>
  </si>
  <si>
    <t>KĐ</t>
  </si>
  <si>
    <t>Tên thiết bị</t>
  </si>
  <si>
    <t>Nguyên giá</t>
  </si>
  <si>
    <t>Model/Serial</t>
  </si>
  <si>
    <t>Năm SX</t>
  </si>
  <si>
    <t>Xuất xứ</t>
  </si>
  <si>
    <t>Ngày nghiệm thu/Bàn giao</t>
  </si>
  <si>
    <t>Phòng lắp đặt</t>
  </si>
  <si>
    <t>Thông số chính</t>
  </si>
  <si>
    <t>KĐ cân</t>
  </si>
  <si>
    <t>KĐ áp kế</t>
  </si>
  <si>
    <t>PQ</t>
  </si>
  <si>
    <t>Thuê CQ</t>
  </si>
  <si>
    <t>Người phụ trách</t>
  </si>
  <si>
    <t>STT tập hồ sơ lưu</t>
  </si>
  <si>
    <t>Ghi chú</t>
  </si>
  <si>
    <t>TT</t>
  </si>
  <si>
    <t>KN.TB.02</t>
  </si>
  <si>
    <t>KN.TB.03</t>
  </si>
  <si>
    <t>KN.TB.05</t>
  </si>
  <si>
    <t>KN.TB.06F</t>
  </si>
  <si>
    <t>KN.TB.08</t>
  </si>
  <si>
    <t>KN.TB.11</t>
  </si>
  <si>
    <t>KN.TB.13</t>
  </si>
  <si>
    <t>KN.TB.14</t>
  </si>
  <si>
    <t>KN.TB.17</t>
  </si>
  <si>
    <t>KN.TB.20</t>
  </si>
  <si>
    <t>KN.TB.22</t>
  </si>
  <si>
    <t>KN.TB.23A</t>
  </si>
  <si>
    <t>KN.TB.24</t>
  </si>
  <si>
    <t>KN.TB.30</t>
  </si>
  <si>
    <t>Cân Mettler Toledo AB204S</t>
  </si>
  <si>
    <t>Bếp cách thủy Memmert WB14</t>
  </si>
  <si>
    <t>Cân Sartorius CP225D</t>
  </si>
  <si>
    <t>Bếp cách thủy HH-4</t>
  </si>
  <si>
    <t>Tủ đóng chất đối chiếu</t>
  </si>
  <si>
    <t>Máy đo độ rã Erweka ZT-122</t>
  </si>
  <si>
    <t>Nồi hấp Hirayama HV-110</t>
  </si>
  <si>
    <t>Lò nung Nabertherm L3/11/B170</t>
  </si>
  <si>
    <t>Máy khuấy từ Hanna HI 310</t>
  </si>
  <si>
    <t>Cân Sartorius CP224S</t>
  </si>
  <si>
    <t>Kính hiển vi Olympus CX21</t>
  </si>
  <si>
    <t>Máy lắc ngang HY-4</t>
  </si>
  <si>
    <t>Tủ mát Velp FOC 215i</t>
  </si>
  <si>
    <t>Bơm chân không KNF</t>
  </si>
  <si>
    <t>KN.TB.31</t>
  </si>
  <si>
    <t>KN.TB.34</t>
  </si>
  <si>
    <t>KN.TB.35</t>
  </si>
  <si>
    <t>Done!</t>
  </si>
  <si>
    <t>TT TB</t>
  </si>
  <si>
    <t>KN.TB.36</t>
  </si>
  <si>
    <t>KN.TB.38</t>
  </si>
  <si>
    <t>KN.TB.42</t>
  </si>
  <si>
    <t>KN.TB.43</t>
  </si>
  <si>
    <t>KN.TB.45</t>
  </si>
  <si>
    <t>KN.TB.47B</t>
  </si>
  <si>
    <t>KN.TB.48</t>
  </si>
  <si>
    <t>KN.TB.50</t>
  </si>
  <si>
    <t>KN.TB.54B</t>
  </si>
  <si>
    <t>KN.TB.55</t>
  </si>
  <si>
    <t>KN.TB.57</t>
  </si>
  <si>
    <t>KN.TB.58</t>
  </si>
  <si>
    <t>KN.TB.61</t>
  </si>
  <si>
    <t>KN.TB.63A</t>
  </si>
  <si>
    <t>KN.TB.69</t>
  </si>
  <si>
    <t>KN.TB.70</t>
  </si>
  <si>
    <t>KN.TB.74A</t>
  </si>
  <si>
    <t>KN.TB.74B</t>
  </si>
  <si>
    <t>KN.TB.76</t>
  </si>
  <si>
    <t>KN.TB.78</t>
  </si>
  <si>
    <t>KN.TB.85</t>
  </si>
  <si>
    <t>KN.TB.87</t>
  </si>
  <si>
    <t>KN.TB.88</t>
  </si>
  <si>
    <t>KN.TB.91</t>
  </si>
  <si>
    <t>KN.TB.93</t>
  </si>
  <si>
    <t>KN.TB.94</t>
  </si>
  <si>
    <t>KN.TB.95</t>
  </si>
  <si>
    <t>KN.TB.96</t>
  </si>
  <si>
    <t>KN.TB.97</t>
  </si>
  <si>
    <t>KN.TB.99</t>
  </si>
  <si>
    <t>KN.TB.105</t>
  </si>
  <si>
    <t>KN.TB.106</t>
  </si>
  <si>
    <t>KN.TB.108</t>
  </si>
  <si>
    <t>KN.TB.109</t>
  </si>
  <si>
    <t>KN.TB.110</t>
  </si>
  <si>
    <t>KN.TB.111</t>
  </si>
  <si>
    <t>KN.TB.112</t>
  </si>
  <si>
    <t>KN.TB.113</t>
  </si>
  <si>
    <t>KN.TB.115</t>
  </si>
  <si>
    <t>KN.TB.116</t>
  </si>
  <si>
    <t>KN.TB.117</t>
  </si>
  <si>
    <t>KN.TB.118</t>
  </si>
  <si>
    <t>KN.TB.120</t>
  </si>
  <si>
    <t>KN.TB.121</t>
  </si>
  <si>
    <t>KN.TB.123</t>
  </si>
  <si>
    <t>KN.TB.125</t>
  </si>
  <si>
    <t>KN.TB.126</t>
  </si>
  <si>
    <t>KN.TB.127</t>
  </si>
  <si>
    <t>KN.TB.128</t>
  </si>
  <si>
    <t>KN.TB.129</t>
  </si>
  <si>
    <t>KN.TB.130</t>
  </si>
  <si>
    <t>KN.TB.131</t>
  </si>
  <si>
    <t>KN.TB.132</t>
  </si>
  <si>
    <t>KN.TB.133</t>
  </si>
  <si>
    <t>KN.TB.134</t>
  </si>
  <si>
    <t>KN.TB.136</t>
  </si>
  <si>
    <t>KN.TB.137</t>
  </si>
  <si>
    <t>KN.TB.138</t>
  </si>
  <si>
    <t>KN.TB.139</t>
  </si>
  <si>
    <t>KN.TB.140</t>
  </si>
  <si>
    <t>KN.TB.142</t>
  </si>
  <si>
    <t>KN.TB.143</t>
  </si>
  <si>
    <t>KN.TB.144</t>
  </si>
  <si>
    <t>KN.TB.145</t>
  </si>
  <si>
    <t>KN.TB.146</t>
  </si>
  <si>
    <t>KN.TB.147</t>
  </si>
  <si>
    <t>Sửa SOP thành bảo trì</t>
  </si>
  <si>
    <t>KN.TB.148</t>
  </si>
  <si>
    <t>KN.TB.149</t>
  </si>
  <si>
    <t>KN.TB.150</t>
  </si>
  <si>
    <t>KN.TB.151</t>
  </si>
  <si>
    <t>KN.TB.153</t>
  </si>
  <si>
    <t>KN.TB.152</t>
  </si>
  <si>
    <t>KN.TB.154</t>
  </si>
  <si>
    <t>KN.TB.155</t>
  </si>
  <si>
    <t>KN.TB.156</t>
  </si>
  <si>
    <t>KN.TB.157</t>
  </si>
  <si>
    <t>KN.TB.158</t>
  </si>
  <si>
    <t>KN.TB.159</t>
  </si>
  <si>
    <t>KN.TB.160</t>
  </si>
  <si>
    <t>KN.TB.161</t>
  </si>
  <si>
    <t>Status:</t>
  </si>
  <si>
    <t>Time elapsed (s):</t>
  </si>
  <si>
    <t>HC
BT</t>
  </si>
  <si>
    <t>KN.TB.162</t>
  </si>
  <si>
    <t>KN.TB.163</t>
  </si>
  <si>
    <t>KN.TB.164</t>
  </si>
  <si>
    <t>KN.TB.165</t>
  </si>
  <si>
    <t>KN.TB.166</t>
  </si>
  <si>
    <t>KN.TB.167</t>
  </si>
  <si>
    <t>KN.TB.168</t>
  </si>
  <si>
    <t>KN.TB.169</t>
  </si>
  <si>
    <t>KN.TB.170</t>
  </si>
  <si>
    <t>KN.TB.171</t>
  </si>
  <si>
    <t>KN.TB.172</t>
  </si>
  <si>
    <t>KN.TB.173</t>
  </si>
  <si>
    <t>KN.TB.174</t>
  </si>
  <si>
    <t>KN.TB.175</t>
  </si>
  <si>
    <t>KN.TB.176</t>
  </si>
  <si>
    <t>KN.TB.177</t>
  </si>
  <si>
    <t>KN.TB.178</t>
  </si>
  <si>
    <t>KN.TB.179</t>
  </si>
  <si>
    <t>KN.TB.182</t>
  </si>
  <si>
    <t>KN.TB.183A</t>
  </si>
  <si>
    <t>KN.TB.183B</t>
  </si>
  <si>
    <t>KN.TB.183C</t>
  </si>
  <si>
    <t>KN.TB.183D</t>
  </si>
  <si>
    <t>KN.TB.183E</t>
  </si>
  <si>
    <t>KN.TB.183F</t>
  </si>
  <si>
    <t>KN.TB.183G</t>
  </si>
  <si>
    <t>KN.TB.183H</t>
  </si>
  <si>
    <t>KN.TB.183I</t>
  </si>
  <si>
    <t>KN.TB.183J</t>
  </si>
  <si>
    <t>KN.TB.183K</t>
  </si>
  <si>
    <t>KN.TB.183L</t>
  </si>
  <si>
    <t>KN.TB.183M</t>
  </si>
  <si>
    <t>KN.TB.183N</t>
  </si>
  <si>
    <t>KN.TB.183O</t>
  </si>
  <si>
    <t>KN.TB.183P</t>
  </si>
  <si>
    <t>KN.TB.184</t>
  </si>
  <si>
    <t>KN.TB.185</t>
  </si>
  <si>
    <t>KN.TB.186</t>
  </si>
  <si>
    <t>KN.TB.187</t>
  </si>
  <si>
    <t>KN.TB.188</t>
  </si>
  <si>
    <t>KN.TB.189</t>
  </si>
  <si>
    <t>KN.TB.190</t>
  </si>
  <si>
    <t>KN.TB.191</t>
  </si>
  <si>
    <t>KN.TB.192</t>
  </si>
  <si>
    <t>KN.TB.193</t>
  </si>
  <si>
    <t>KN.TB.194</t>
  </si>
  <si>
    <t>KN.TB.195</t>
  </si>
  <si>
    <t>KN.TB.196</t>
  </si>
  <si>
    <t>KN.TB.197</t>
  </si>
  <si>
    <t>KN.TB.198</t>
  </si>
  <si>
    <t>CL.TB.01</t>
  </si>
  <si>
    <t>CL.TB.02</t>
  </si>
  <si>
    <t>CL.TB.03</t>
  </si>
  <si>
    <t>CL.TB.04</t>
  </si>
  <si>
    <t>CL.TB.05</t>
  </si>
  <si>
    <t>CL.TB.06</t>
  </si>
  <si>
    <t>CL.TB.07</t>
  </si>
  <si>
    <t>CL.TB.08</t>
  </si>
  <si>
    <t>CL.TB.09</t>
  </si>
  <si>
    <t>CL.TB.10</t>
  </si>
  <si>
    <t>CL.TB.11</t>
  </si>
  <si>
    <t>CL.TB.13</t>
  </si>
  <si>
    <t>CL.TB.14</t>
  </si>
  <si>
    <t>CL.TB.15</t>
  </si>
  <si>
    <t>CL.TB.16</t>
  </si>
  <si>
    <t>CL.TB.17</t>
  </si>
  <si>
    <t>CL.TB.18</t>
  </si>
  <si>
    <t>CL.TB.19</t>
  </si>
  <si>
    <t>CL.TB.20</t>
  </si>
  <si>
    <t>CL.TB.21</t>
  </si>
  <si>
    <t>CL.TB.22</t>
  </si>
  <si>
    <t>CL.TB.23</t>
  </si>
  <si>
    <t>CL.TB.24</t>
  </si>
  <si>
    <t>CL.TB.25</t>
  </si>
  <si>
    <t>CL.TB.26</t>
  </si>
  <si>
    <t>CL.TB.27</t>
  </si>
  <si>
    <t>CL.TB.28</t>
  </si>
  <si>
    <t>CL.TB.29</t>
  </si>
  <si>
    <t>CL.TB.30</t>
  </si>
  <si>
    <t>CL.TB.31</t>
  </si>
  <si>
    <t>CL.TB.32</t>
  </si>
  <si>
    <t>CL.TB.33</t>
  </si>
  <si>
    <t>CL.TB.34</t>
  </si>
  <si>
    <t>CL.TB.35</t>
  </si>
  <si>
    <t>CL.TB.36</t>
  </si>
  <si>
    <t>CL.TB.37</t>
  </si>
  <si>
    <t>CL.TB.38</t>
  </si>
  <si>
    <t>CL.TB.39</t>
  </si>
  <si>
    <t>KN.01</t>
  </si>
  <si>
    <t>KN.02</t>
  </si>
  <si>
    <t>KN.03</t>
  </si>
  <si>
    <t>KN.04</t>
  </si>
  <si>
    <t>KN.05</t>
  </si>
  <si>
    <t>KN.06</t>
  </si>
  <si>
    <t>KN.07</t>
  </si>
  <si>
    <t>KN.08</t>
  </si>
  <si>
    <t>KN.09</t>
  </si>
  <si>
    <t>KN.10</t>
  </si>
  <si>
    <t>KN.11</t>
  </si>
  <si>
    <t>KN.12</t>
  </si>
  <si>
    <t>KN.13</t>
  </si>
  <si>
    <t>KN.14</t>
  </si>
  <si>
    <t>KN.15</t>
  </si>
  <si>
    <t>KN.16</t>
  </si>
  <si>
    <t>KN.17</t>
  </si>
  <si>
    <t>KN.18</t>
  </si>
  <si>
    <t>KN.19</t>
  </si>
  <si>
    <t>KN.20</t>
  </si>
  <si>
    <t>KN.21</t>
  </si>
  <si>
    <t>KN.22</t>
  </si>
  <si>
    <t>KN.23</t>
  </si>
  <si>
    <t>KN.24</t>
  </si>
  <si>
    <t>KN.25</t>
  </si>
  <si>
    <t>KN.26</t>
  </si>
  <si>
    <t>KN.27</t>
  </si>
  <si>
    <t>KN.28</t>
  </si>
  <si>
    <t>KN.TB.199</t>
  </si>
  <si>
    <t>KN.TB.200</t>
  </si>
  <si>
    <t>KN.TB.201</t>
  </si>
  <si>
    <t>YA 2270283142</t>
  </si>
  <si>
    <t>G010</t>
  </si>
  <si>
    <t>YA 2270283086</t>
  </si>
  <si>
    <t>IPC.TB.01</t>
  </si>
  <si>
    <t>IPC.TB.03</t>
  </si>
  <si>
    <t>IPC.TB.04</t>
  </si>
  <si>
    <t>IPC.TB.05</t>
  </si>
  <si>
    <t>IPC.TB.06</t>
  </si>
  <si>
    <t>IPC.TB.07</t>
  </si>
  <si>
    <t>IPC.TB.08</t>
  </si>
  <si>
    <t>Cân Precisa BJ 2100D</t>
  </si>
  <si>
    <t>Khúc xạ kế Atago DR-A1</t>
  </si>
  <si>
    <t>Tủ sấy Memmert UE400</t>
  </si>
  <si>
    <t>Máy lắc ống nghiệm Velp</t>
  </si>
  <si>
    <t>Tủ sấy Memmert UM500</t>
  </si>
  <si>
    <t>Máy cất quay Buchi R3</t>
  </si>
  <si>
    <t>Tủ sấy chân không Vacucell</t>
  </si>
  <si>
    <t>Phòng sạch (Phòng lấy mẫu)</t>
  </si>
  <si>
    <t>Tủ lạnh Daewoo</t>
  </si>
  <si>
    <t>Cân Quintix 224-1S</t>
  </si>
  <si>
    <t>Vòi cấp cứu</t>
  </si>
  <si>
    <t>Cân đo hàm ẩm Satorius MA150</t>
  </si>
  <si>
    <t>Thước kẹp Mitutoyo</t>
  </si>
  <si>
    <t>Máy hòa tan Pharmatest PTWS 610</t>
  </si>
  <si>
    <t>Máy HPTLC Camag</t>
  </si>
  <si>
    <t>Tủ ấm INB 500</t>
  </si>
  <si>
    <t>Lò nung Nabertherm L5/11/B170</t>
  </si>
  <si>
    <t>Máy khuấy từ Velp</t>
  </si>
  <si>
    <t>Nhiệt kế thủy tinh (-10 - 100 °C)</t>
  </si>
  <si>
    <t>Hệ thống xử lý khí thải</t>
  </si>
  <si>
    <t>Máy hồng ngoại Nicolet Avatar 370</t>
  </si>
  <si>
    <t>Bơm chân không Gast</t>
  </si>
  <si>
    <t>Bơm chân không Emerson</t>
  </si>
  <si>
    <t>Máy pH Mettler Toledo S20K</t>
  </si>
  <si>
    <t>Bộ chiết Soxhlet Gerhardt EV 16</t>
  </si>
  <si>
    <t>Tủ sấy Memmert UNB200</t>
  </si>
  <si>
    <t>Cân Precisa BJ 410C</t>
  </si>
  <si>
    <t>Máy AAS Thermo iCE 3500</t>
  </si>
  <si>
    <t>Máy HPLC Agilent 1260</t>
  </si>
  <si>
    <t>Máy hút chân không LD-300</t>
  </si>
  <si>
    <t>Máy thử độ kín Pharmatest</t>
  </si>
  <si>
    <t>Máy pH Mettler Toledo S220</t>
  </si>
  <si>
    <t>Máy đo độ dẫn Mettler Toledo S230</t>
  </si>
  <si>
    <t>Cân Shimadzu UW420H</t>
  </si>
  <si>
    <t>Máy HPLC Hitachi Chromaster</t>
  </si>
  <si>
    <t>Máy lọc nước Merck Mili Q A10</t>
  </si>
  <si>
    <t>Máy hàn túi Yuzhong SF-150</t>
  </si>
  <si>
    <t>Tủ lạnh Hitachi</t>
  </si>
  <si>
    <t>Máy UV-Vis Hitachi U-3900H</t>
  </si>
  <si>
    <t>Tủ hút 5</t>
  </si>
  <si>
    <t>Tủ hút 6</t>
  </si>
  <si>
    <t>Máy lắc siêu âm GT Sonic VGT 1990</t>
  </si>
  <si>
    <t>Máy đo nhiệt Testo 925</t>
  </si>
  <si>
    <t>Đầu đo nhiệt -50 - 400°C</t>
  </si>
  <si>
    <t>Nhiệt kế vẩy Maxima (-10 - 150°C)</t>
  </si>
  <si>
    <t>Thước inox Swordfish 500 mm</t>
  </si>
  <si>
    <t>Máy ly tâm Universal 320</t>
  </si>
  <si>
    <t>Micropipette 20 - 200 µL</t>
  </si>
  <si>
    <t>Micropipette 100 - 1000 µL</t>
  </si>
  <si>
    <t>Nhiệt kế thủy tinh (0 - 100 °C)</t>
  </si>
  <si>
    <t>Máy hòa tan Pharmatest PTWS 1220</t>
  </si>
  <si>
    <t>Máy lấy mẫu không khí MiniCapt 100 M</t>
  </si>
  <si>
    <t>Micropipette 1 - 10 mL</t>
  </si>
  <si>
    <t>Máy chuẩn độ điện thế Metrohm 848</t>
  </si>
  <si>
    <t>Máy HPLC Agilent 1260 Infinity II</t>
  </si>
  <si>
    <t>Máy phá mẫu vi sóng MiniWAVE</t>
  </si>
  <si>
    <t>Máy lắc siêu âm Elma S</t>
  </si>
  <si>
    <t>Máy lắc siêu âm Elma P</t>
  </si>
  <si>
    <t>Máy lắc siêu âm GT Sonic D9</t>
  </si>
  <si>
    <t>Máy tạo viên đo hồng ngoại Pike</t>
  </si>
  <si>
    <t>Phân cực kế Kruss P3000</t>
  </si>
  <si>
    <t>Cân Mettler Toledo XSR205DU</t>
  </si>
  <si>
    <t>Cân Mettler Toledo XSR303S</t>
  </si>
  <si>
    <t>Máy pH/độ dẫn Mettler Toledo S470</t>
  </si>
  <si>
    <t>Máy đo độ nhớt Lamy 1st Pro+</t>
  </si>
  <si>
    <t>Tủ vi khí hậu Binder KBF 720</t>
  </si>
  <si>
    <t>Máy chuẩn bị MTHT ezfill+</t>
  </si>
  <si>
    <t>Tủ an toàn sinh học cấp II SafeFast Classic 212D</t>
  </si>
  <si>
    <t>Tủ an toàn sinh học cấp II Airtech</t>
  </si>
  <si>
    <t>Tủ ấm Binder KF170</t>
  </si>
  <si>
    <t>Tủ sấy Binder ED56</t>
  </si>
  <si>
    <t>Đồng hồ bấm giây</t>
  </si>
  <si>
    <t>Máy HPLC Waters Arc số 1</t>
  </si>
  <si>
    <t>Máy HPLC Waters Arc số 2</t>
  </si>
  <si>
    <t>Lò nung Naberthern L5/11/B510</t>
  </si>
  <si>
    <t>Tủ lạnh Frimed AF140</t>
  </si>
  <si>
    <t>Datalogger Testo Saveris 2-H2</t>
  </si>
  <si>
    <t>Tủ hút 1</t>
  </si>
  <si>
    <t>Tủ hút 2</t>
  </si>
  <si>
    <t>Tủ hút 3</t>
  </si>
  <si>
    <t>Tủ hút 4</t>
  </si>
  <si>
    <t>Hệ thống HVAC phòng vi sinh</t>
  </si>
  <si>
    <t>Passbox 1</t>
  </si>
  <si>
    <t>Passbox 2</t>
  </si>
  <si>
    <t>Passbox 3</t>
  </si>
  <si>
    <t>Passbox 4</t>
  </si>
  <si>
    <t>Máy lắc siêu âm GT Sonic D20</t>
  </si>
  <si>
    <t>Máy lắc ngang Dlab SK-L330-Pro</t>
  </si>
  <si>
    <t>Máy đo kích thước tiểu phân Mastesizer M3000</t>
  </si>
  <si>
    <t>Chênh áp kế</t>
  </si>
  <si>
    <t>Datalogger testo Saveris 2-H1</t>
  </si>
  <si>
    <t>Datalogger testo Saveris 2-T2</t>
  </si>
  <si>
    <t>Sensor NTC dẹt</t>
  </si>
  <si>
    <t>Máy đo tốc độ vòng quay DT2236B</t>
  </si>
  <si>
    <t>Chụp hút cố định cho AAS và ELSD</t>
  </si>
  <si>
    <t>Datalogger Testo 174H</t>
  </si>
  <si>
    <t>Datalogger Testo Saveris 2-H1</t>
  </si>
  <si>
    <t>Nhiệt ẩm kế</t>
  </si>
  <si>
    <t>Bộ quả cân F1 (1; 2; 2*; 5; 10; 20; 20*; 50; 100; 200; 200*; 500) mg</t>
  </si>
  <si>
    <t>Bộ quả cân F1 (2; 5; 10; 20; 100; 200) g</t>
  </si>
  <si>
    <t>Quả cân E2 200g</t>
  </si>
  <si>
    <t>Bình khí Argon</t>
  </si>
  <si>
    <t>Bình khí Acetylen</t>
  </si>
  <si>
    <t>Bình khí Ni-tơ (máy SKLM)</t>
  </si>
  <si>
    <t>Cân kỹ thuật ML 203</t>
  </si>
  <si>
    <t>Cân đo hàm ẩm MA45</t>
  </si>
  <si>
    <t>Máy đo pH Mettler Toledo</t>
  </si>
  <si>
    <t>Máy thử độ kín Askir</t>
  </si>
  <si>
    <t>Máy đo độ rã Erweka ZT 222</t>
  </si>
  <si>
    <t>Đồng hồ DIGITIMER</t>
  </si>
  <si>
    <t>Cân kỹ thuật Shimadzu UW 420</t>
  </si>
  <si>
    <t>KN.TB.60A</t>
  </si>
  <si>
    <t>KN.TB.64N4</t>
  </si>
  <si>
    <t>KN.TB.67</t>
  </si>
  <si>
    <t>KN.TB.180</t>
  </si>
  <si>
    <t>CL.TB.12</t>
  </si>
  <si>
    <t>AB204-S1127473045</t>
  </si>
  <si>
    <t>Mettler Toledo GmbH. (Thuỵ sĩ)</t>
  </si>
  <si>
    <t>Cân</t>
  </si>
  <si>
    <t>10 mg - 200 g; d = 0,1 mg</t>
  </si>
  <si>
    <t>WB14</t>
  </si>
  <si>
    <t>Eppendorf</t>
  </si>
  <si>
    <t>Hóa lý 1</t>
  </si>
  <si>
    <t>14 L, 6 vị trí, 5 - 100 °C</t>
  </si>
  <si>
    <t>CP 225D/16209442</t>
  </si>
  <si>
    <t>Sartorius AG (Đức)</t>
  </si>
  <si>
    <t>1 mg - 200 g; d = 0,1 mg</t>
  </si>
  <si>
    <t>HH - 4</t>
  </si>
  <si>
    <t>Trung Quốc</t>
  </si>
  <si>
    <t>4 vị trí; Max: 99.9 °C</t>
  </si>
  <si>
    <t>Ct CP Trần Vũ  (Việt Nam)</t>
  </si>
  <si>
    <t>Vật lý</t>
  </si>
  <si>
    <t>ZT-122/11920901fb</t>
  </si>
  <si>
    <t>Erweka (Đức)</t>
  </si>
  <si>
    <t>Hòa tan</t>
  </si>
  <si>
    <t>2 vị trí thử</t>
  </si>
  <si>
    <t>HV 110/020286428</t>
  </si>
  <si>
    <t>Hirayama (Nhật bản)</t>
  </si>
  <si>
    <t>Vi sinh</t>
  </si>
  <si>
    <t>L3/11/B170</t>
  </si>
  <si>
    <t>Nabertherm (Đức)</t>
  </si>
  <si>
    <t>Nhiệt</t>
  </si>
  <si>
    <t>300 - 3000 °C</t>
  </si>
  <si>
    <t>Hannal Instruments (Thuỵ sĩ)</t>
  </si>
  <si>
    <t>CP 224S/16209417</t>
  </si>
  <si>
    <t>CX21FS1/ T3 SN6J24267</t>
  </si>
  <si>
    <t>Olympus Cor. (Nhật Bản)</t>
  </si>
  <si>
    <t>4x, 10x, 40x, 100x</t>
  </si>
  <si>
    <t>HY -  4</t>
  </si>
  <si>
    <t>FOC 215i</t>
  </si>
  <si>
    <t>Velp - Italia</t>
  </si>
  <si>
    <t>3 - 50 °C; d = 0,5 °C</t>
  </si>
  <si>
    <t>N810-FT18</t>
  </si>
  <si>
    <t>KNF Neuberger GmbH (Đức)</t>
  </si>
  <si>
    <t>Lưu lượng bơm: 10 L/h</t>
  </si>
  <si>
    <t>BJ 2100D/1604-317</t>
  </si>
  <si>
    <t>Precisa Instruments AG (Đức)</t>
  </si>
  <si>
    <t>Lấy mẫu</t>
  </si>
  <si>
    <t>Max: 200 g; d = 0,01 g</t>
  </si>
  <si>
    <t>DR-A1/032517</t>
  </si>
  <si>
    <t>Atago co.,Ltd. (Nhật bản)</t>
  </si>
  <si>
    <t>UE 400/D 07926</t>
  </si>
  <si>
    <t>Memmert GmbH +Co.KG (Đức)</t>
  </si>
  <si>
    <t>20 - 300 °C; d = 1 °C</t>
  </si>
  <si>
    <t>ZX3</t>
  </si>
  <si>
    <t>Velp Scientifica</t>
  </si>
  <si>
    <t>UM 500/D 07967</t>
  </si>
  <si>
    <t>30 - 220 °C; d = 1 °C</t>
  </si>
  <si>
    <t>R3, bộ ngưng tụ thẳng đứng kiểu V</t>
  </si>
  <si>
    <t>Buchi – Thụy sĩ</t>
  </si>
  <si>
    <t>20 - 95 °C, 20 - 280 rpm, pmin = 10 mbar, làm lạnh ở 10 °C</t>
  </si>
  <si>
    <t>VACUCELL – 22/ V 1.03</t>
  </si>
  <si>
    <t>MMM medcenter GmbH (Đức)</t>
  </si>
  <si>
    <t>5 - 200 °C; pmin = 5 - 10 mbar</t>
  </si>
  <si>
    <t>PS.002-2001</t>
  </si>
  <si>
    <t>TT nhiệt đới Việt _Nga (VN)</t>
  </si>
  <si>
    <t>Lưu lượng gió: 3600 m3/h</t>
  </si>
  <si>
    <t>VR – 279 P/WH/</t>
  </si>
  <si>
    <t>Daewoo Hanel (VN)</t>
  </si>
  <si>
    <t>278 L, 130 W</t>
  </si>
  <si>
    <t>Quintix 224-IS</t>
  </si>
  <si>
    <t>Sartorius - (Đức)</t>
  </si>
  <si>
    <t>XX02 – CC01</t>
  </si>
  <si>
    <t>MA 150/000230V1</t>
  </si>
  <si>
    <t>100 mg - 150 g; d = 1 mg</t>
  </si>
  <si>
    <t>CD-12”C/1113333</t>
  </si>
  <si>
    <t>Japan</t>
  </si>
  <si>
    <t>Văn phòng QA</t>
  </si>
  <si>
    <t>PTWS610/20878/2015</t>
  </si>
  <si>
    <t>Pharmatest-Đức</t>
  </si>
  <si>
    <t>8 vị trí, 25 - 45 °C, 20 - 250 rpm</t>
  </si>
  <si>
    <t>TLC Visualizer - Linomat 5</t>
  </si>
  <si>
    <t>Camag - Thụy Sĩ</t>
  </si>
  <si>
    <t>INB 500</t>
  </si>
  <si>
    <t>Memmert (GmbH</t>
  </si>
  <si>
    <t>5 - 70 °C; d = 0,5 °C</t>
  </si>
  <si>
    <t>L5/11/B170</t>
  </si>
  <si>
    <t>300 - 3000°C</t>
  </si>
  <si>
    <t>10.0160/2021898</t>
  </si>
  <si>
    <t>Velp Scientifica Srl (Italia)</t>
  </si>
  <si>
    <t>Max: 1100 rpm</t>
  </si>
  <si>
    <t>Germany</t>
  </si>
  <si>
    <t>Hóa lý 2</t>
  </si>
  <si>
    <t>-10 - 100 °C</t>
  </si>
  <si>
    <t>3K 90 – L4/ 1862008.04  (Qu¹t); JES M5/ CH 660 00005 (B¬m)</t>
  </si>
  <si>
    <t>Việt Nam</t>
  </si>
  <si>
    <t>Tầng thượng</t>
  </si>
  <si>
    <t>Lưu lượng max: 40 L/min</t>
  </si>
  <si>
    <t>Avatar 370 DTGS/</t>
  </si>
  <si>
    <t>Thermo Electron Co. (Mỹ)</t>
  </si>
  <si>
    <t>DOA-P704 Shown/DOA -P504-BN 0305610003</t>
  </si>
  <si>
    <t>Gast Manufacturing, Inc.(Mỹ)</t>
  </si>
  <si>
    <t>K48ZZECY3322</t>
  </si>
  <si>
    <t>Motor Division (Mỹ)</t>
  </si>
  <si>
    <t>Seven Easy pH- S20K</t>
  </si>
  <si>
    <t>Trung quốc</t>
  </si>
  <si>
    <t>EV 16/</t>
  </si>
  <si>
    <t>Đức</t>
  </si>
  <si>
    <t>tmax = 425 °C</t>
  </si>
  <si>
    <t>UNB 200/210.1699</t>
  </si>
  <si>
    <t>5 - 220 °C; d = 0,5 °C</t>
  </si>
  <si>
    <t>BJ 410C/1654464</t>
  </si>
  <si>
    <t>Thụy Sĩ</t>
  </si>
  <si>
    <t>Chuẩn bị môi trường</t>
  </si>
  <si>
    <t>10 - 400 g; d = 0,01 g</t>
  </si>
  <si>
    <t>iCE 3500</t>
  </si>
  <si>
    <t>Thermo Scientific</t>
  </si>
  <si>
    <t>190 - 850 nm</t>
  </si>
  <si>
    <t>Agilent 1260</t>
  </si>
  <si>
    <t>Agilent Technologies (Mỹ)</t>
  </si>
  <si>
    <t>Detector DAD, tiêm tự động, Vtiêm = 1 - 100 µL</t>
  </si>
  <si>
    <t>LD-300</t>
  </si>
  <si>
    <t>Kho tầng 6</t>
  </si>
  <si>
    <t>DOA – P504 – BN (Bơm)</t>
  </si>
  <si>
    <t>Lưu lượng dòng: 472 cm3/s, chân không 61 cmHg</t>
  </si>
  <si>
    <t>S220-Kit/B535373509</t>
  </si>
  <si>
    <t>Mettler</t>
  </si>
  <si>
    <t>0 - 20 pH; d = 0,001/0,01/0,1 pH</t>
  </si>
  <si>
    <t>S230-Kit/B512733242</t>
  </si>
  <si>
    <t>0,001 µS/cm - 1000 mS/cm</t>
  </si>
  <si>
    <t>UW420H/D447260078</t>
  </si>
  <si>
    <t>Shimadzu</t>
  </si>
  <si>
    <t>Thử độ nhiễm khuẩn</t>
  </si>
  <si>
    <t>100 mg - 400 g; d = 1 mg</t>
  </si>
  <si>
    <t>Chromaster</t>
  </si>
  <si>
    <t>Hitachi - Nhật Bản</t>
  </si>
  <si>
    <t>HPLC</t>
  </si>
  <si>
    <t>Detector DAD, tiêm tự động</t>
  </si>
  <si>
    <t xml:space="preserve">Milli-Q Advantage A10/F6EA57764K/2016N </t>
  </si>
  <si>
    <t>Merck Millipore-Pháp</t>
  </si>
  <si>
    <t>Rửa</t>
  </si>
  <si>
    <t>Nước đầu ra: 0,055 µS/cm, 18,2MΩ.cm, TOC &lt; 5 ppb, &lt; 1 cfu/ml</t>
  </si>
  <si>
    <t>SF-150</t>
  </si>
  <si>
    <t>YUZHONG - Trung Quốc</t>
  </si>
  <si>
    <t>Max: 300 °C</t>
  </si>
  <si>
    <t>R-VG615PGV3/2140600025</t>
  </si>
  <si>
    <t>Hitachi - Thái Lan</t>
  </si>
  <si>
    <t>510 L, Inverter</t>
  </si>
  <si>
    <t>616J1198</t>
  </si>
  <si>
    <t>190 - 900 nm</t>
  </si>
  <si>
    <t>HY-513</t>
  </si>
  <si>
    <t>Hóa lý I</t>
  </si>
  <si>
    <t>GT Sonic</t>
  </si>
  <si>
    <t>1 mức độ siêu âm</t>
  </si>
  <si>
    <t>FOC215i</t>
  </si>
  <si>
    <t>34801142/710</t>
  </si>
  <si>
    <t>Testo - Đức</t>
  </si>
  <si>
    <t>-50 - 1000°C</t>
  </si>
  <si>
    <t>34801153/710</t>
  </si>
  <si>
    <t>-50 - 400°C</t>
  </si>
  <si>
    <t>Maxima</t>
  </si>
  <si>
    <t>-10 - 150°C</t>
  </si>
  <si>
    <t>Swordfish</t>
  </si>
  <si>
    <t>500 mm</t>
  </si>
  <si>
    <t>Universal 320/ SN: 0010404-11</t>
  </si>
  <si>
    <t>Hettich - Đức</t>
  </si>
  <si>
    <t>Tốc độ tối đa: 16.000 rpm</t>
  </si>
  <si>
    <t>P46387E</t>
  </si>
  <si>
    <t>20 - 200 µL</t>
  </si>
  <si>
    <t>Hirschmann</t>
  </si>
  <si>
    <t>100 - 1000 µL</t>
  </si>
  <si>
    <t>R28582F</t>
  </si>
  <si>
    <t>HH-4</t>
  </si>
  <si>
    <t>HY-4</t>
  </si>
  <si>
    <t>0 - 100 °C</t>
  </si>
  <si>
    <t>Hóa lý 1 (tủ lạnh Hitachi)</t>
  </si>
  <si>
    <t>PTWS1220/26306</t>
  </si>
  <si>
    <t>12 vị trí, 25 - 45 °C, 20 - 250 rpm</t>
  </si>
  <si>
    <t>Minicapt 100 M</t>
  </si>
  <si>
    <t>Partical Measuring Systems - Italy</t>
  </si>
  <si>
    <t>Max: 100 L/phút</t>
  </si>
  <si>
    <t>O53321H</t>
  </si>
  <si>
    <t>1 - 10 mL</t>
  </si>
  <si>
    <t>848 Titrino Plus</t>
  </si>
  <si>
    <t>Metrohm</t>
  </si>
  <si>
    <t>Agilent 1260 Infinity II</t>
  </si>
  <si>
    <t>HV 110/30521012650</t>
  </si>
  <si>
    <t>MiniWAVE, S/N: MWA3020320127</t>
  </si>
  <si>
    <t>SCP Science - Canada</t>
  </si>
  <si>
    <t>6 vị trí</t>
  </si>
  <si>
    <t>Elmasonic S 60 H</t>
  </si>
  <si>
    <t>Elma - Đức</t>
  </si>
  <si>
    <t>37 kHz; 5,75 L</t>
  </si>
  <si>
    <t>Elmasonic P 60 H</t>
  </si>
  <si>
    <t>37 kHz/80kHz; 5,75 L</t>
  </si>
  <si>
    <t>D9</t>
  </si>
  <si>
    <t>40 kHz; 9 L</t>
  </si>
  <si>
    <t>Pixie/2117034</t>
  </si>
  <si>
    <t>Pike</t>
  </si>
  <si>
    <t>P3000</t>
  </si>
  <si>
    <t>Kruss - Đức</t>
  </si>
  <si>
    <t>Độ phân giải 0,01°</t>
  </si>
  <si>
    <t>XSR205DU</t>
  </si>
  <si>
    <t>Mettler-Todedo</t>
  </si>
  <si>
    <t>d=0,01 mg</t>
  </si>
  <si>
    <t>XSR204</t>
  </si>
  <si>
    <t>d=0,1 mg</t>
  </si>
  <si>
    <t>XSR303S</t>
  </si>
  <si>
    <t>d=1 mg</t>
  </si>
  <si>
    <t>S470-Kit</t>
  </si>
  <si>
    <t>First Pro Plus</t>
  </si>
  <si>
    <t>Lamy Rheology Instruments</t>
  </si>
  <si>
    <t>0,05 - 13 mNm</t>
  </si>
  <si>
    <t>KBF 720 (E6)</t>
  </si>
  <si>
    <t>Binder - Đức</t>
  </si>
  <si>
    <t>Theo dõi ĐÔĐ</t>
  </si>
  <si>
    <t>0 - 70°C, 10 - 80% RH</t>
  </si>
  <si>
    <t>ezfill+</t>
  </si>
  <si>
    <t>Distek</t>
  </si>
  <si>
    <t>900 mL</t>
  </si>
  <si>
    <t>Airtech</t>
  </si>
  <si>
    <t>KF170/20220000005142</t>
  </si>
  <si>
    <t>ED56/20220000004858</t>
  </si>
  <si>
    <t>Lò: L5/11
Controller: B510</t>
  </si>
  <si>
    <t>AF140/Serial: FF3737FM31021</t>
  </si>
  <si>
    <t>Fri.Med - Italia</t>
  </si>
  <si>
    <t>Phượng Hải - Việt Nam</t>
  </si>
  <si>
    <t>Có thổi khí</t>
  </si>
  <si>
    <t>Không thổi khí</t>
  </si>
  <si>
    <t>GT Sonic - Trung Quốc</t>
  </si>
  <si>
    <t>DLab - Mỹ</t>
  </si>
  <si>
    <t>MAGRFHELIC</t>
  </si>
  <si>
    <t>Chuẩn bị môi trường - khu vi sinh</t>
  </si>
  <si>
    <t>Phạm vi đo: (0÷60)Pa, độ chia nhỏ nhất d=2Pa, sai số: ± 2 % FS</t>
  </si>
  <si>
    <t>Thay trang phục cấp D - khu vi sinh</t>
  </si>
  <si>
    <t>Hành lang cấp D - khu vi sinh</t>
  </si>
  <si>
    <t>Định lượng kháng sinh - khu vi sinh</t>
  </si>
  <si>
    <t>Nuôi cấy - khu vi sinh</t>
  </si>
  <si>
    <t>Độ nhiễm khuẩn - khu vi sinh</t>
  </si>
  <si>
    <t>Hấp sấy - khu vi sinh</t>
  </si>
  <si>
    <t>Tầng 6 AHU vi sinh (đo chênh áp màng lọc HEPA F1-2 P.ĐLKS)</t>
  </si>
  <si>
    <t>Phạm vi đo: (0÷750)Pa, độ chia nhỏ nhất d=25Pa, sai số: ± 4 % FS</t>
  </si>
  <si>
    <t>Tầng 6 AHU vi sinh (đo chênh áp màng lọc HEPA F2-4 Hành lang D2)</t>
  </si>
  <si>
    <t>Tầng 6 AHU vi sinh (đo chênh áp màng lọc HEPA F2-1 P.Chuẩn bị môi trường)</t>
  </si>
  <si>
    <t>Tầng 6 AHU vi sinh (đo chênh áp màng lọc HEPA F2-5 Hành lang D1)</t>
  </si>
  <si>
    <t>Tầng 6 AHU vi sinh (đo chênh áp màng lọc HEPA F1-3 P.Nuôi cấy)</t>
  </si>
  <si>
    <t>Tầng 6 AHU vi sinh (đo chênh áp màng lọc HEPA F2-3 P. hấp sấy)</t>
  </si>
  <si>
    <t>Tầng 6 AHU vi sinh (đo chênh áp màng lọc HEPA F1-1 P. thay đồ D)</t>
  </si>
  <si>
    <t>Tầng 6 AHU vi sinh (đo chênh áp màng lọc HEPA F2-2 P. thử độ nhiễm khuẩn)</t>
  </si>
  <si>
    <t>Tầng 6 AHU vi sinh (đo chênh áp màng lọc G4/F8 AHU)</t>
  </si>
  <si>
    <t>Phạm vi đo: (0÷500)Pa, độ chia nhỏ nhất d=10Pa, sai số: ± 4 % FS</t>
  </si>
  <si>
    <t>Nhận mẫu</t>
  </si>
  <si>
    <t>Lưu mẫu</t>
  </si>
  <si>
    <t>Đo quang: 2.5-99999 rpm. Đo tiếp xúc: 0.5-19999 rpm</t>
  </si>
  <si>
    <t>-20 - 70 °C; 0 - 100 % RH</t>
  </si>
  <si>
    <t>54658345/1019</t>
  </si>
  <si>
    <t>-30 - 50 °C; 0 - 100 % RH</t>
  </si>
  <si>
    <t>54658349/1019</t>
  </si>
  <si>
    <t>54658421/1019</t>
  </si>
  <si>
    <t>54658428/1019</t>
  </si>
  <si>
    <t>54658482/1019</t>
  </si>
  <si>
    <t>TFA (Đức)</t>
  </si>
  <si>
    <t>-20 - 60 °C, 0 - 100 % RH</t>
  </si>
  <si>
    <t>Hàn Quốc</t>
  </si>
  <si>
    <t>-30 - 60 °C, 0 - 100 % RH</t>
  </si>
  <si>
    <t>-25 - 60 °C, 20 - 100 % RH</t>
  </si>
  <si>
    <t>810-155</t>
  </si>
  <si>
    <t>Anh</t>
  </si>
  <si>
    <t>(Int) 0 - 49,9 °C, (Ext) -49,9 - 69,9 °C, 20 - 99 % RH</t>
  </si>
  <si>
    <t>(1; 2; 2*; 5; 10; 20; 20*; 50; 100; 200; 200*; 500) mg</t>
  </si>
  <si>
    <t>IPC</t>
  </si>
  <si>
    <t>(2; 5; 10; 20; 100; 200) g</t>
  </si>
  <si>
    <t>Mettler-Thụy Sĩ</t>
  </si>
  <si>
    <t>ML203</t>
  </si>
  <si>
    <t>MA45</t>
  </si>
  <si>
    <t>S220-Kit</t>
  </si>
  <si>
    <t>Askir 30</t>
  </si>
  <si>
    <t>ZT222</t>
  </si>
  <si>
    <t>UW420H</t>
  </si>
  <si>
    <t>x</t>
  </si>
  <si>
    <t>Lan</t>
  </si>
  <si>
    <t>Tuấn</t>
  </si>
  <si>
    <t>Hạnh</t>
  </si>
  <si>
    <t>Vân</t>
  </si>
  <si>
    <t>Cường</t>
  </si>
  <si>
    <t>Ngọc</t>
  </si>
  <si>
    <t>Đỗ Hà</t>
  </si>
  <si>
    <t>P. HCQT</t>
  </si>
  <si>
    <t>Quý</t>
  </si>
  <si>
    <t>Thắm</t>
  </si>
  <si>
    <t>Thanh Hà</t>
  </si>
  <si>
    <t>Phương</t>
  </si>
  <si>
    <t>Na</t>
  </si>
  <si>
    <t>Trang</t>
  </si>
  <si>
    <t>Thúy</t>
  </si>
  <si>
    <t>33, 34</t>
  </si>
  <si>
    <t>D5/QLCL</t>
  </si>
  <si>
    <t>KĐ AT</t>
  </si>
  <si>
    <t>Tần suất (tháng)</t>
  </si>
  <si>
    <t>I</t>
  </si>
  <si>
    <t>Action:</t>
  </si>
  <si>
    <t>Bộ phận: Phòng Quản lý chất lượng - Pháp chế dược</t>
  </si>
  <si>
    <t>Cân Mettler Toledo XSR204</t>
  </si>
  <si>
    <t>Máy đo vòng vô khuẩn</t>
  </si>
  <si>
    <t>KN.TB.181</t>
  </si>
  <si>
    <t>0054781207</t>
  </si>
  <si>
    <t>0054790200</t>
  </si>
  <si>
    <t>0054718734</t>
  </si>
  <si>
    <t>0054718181</t>
  </si>
  <si>
    <t>0054718663</t>
  </si>
  <si>
    <t>0054717249</t>
  </si>
  <si>
    <t>0054718458</t>
  </si>
  <si>
    <t>-50 - 150 °C (2 kênh)</t>
  </si>
  <si>
    <t>-40 - 125 °C</t>
  </si>
  <si>
    <t>Bỏ HC trong SOP do không đơn vị nào nhận</t>
  </si>
  <si>
    <t>Bổ sung vào SOP</t>
  </si>
  <si>
    <t>HC
PQ</t>
  </si>
  <si>
    <t>BT
PQ</t>
  </si>
  <si>
    <t>Bể điều nhiệt TC-402D</t>
  </si>
  <si>
    <t>Grand Total</t>
  </si>
  <si>
    <t>Row Labels</t>
  </si>
  <si>
    <t>Count of Người phụ trách</t>
  </si>
  <si>
    <t>TP. Quản lý chất lượng - Pháp chế dược</t>
  </si>
  <si>
    <t>Nguyễn Thị Vân Anh</t>
  </si>
  <si>
    <t>Chú thích các chữ viết tắt:</t>
  </si>
  <si>
    <t>KĐ: Kiểm định</t>
  </si>
  <si>
    <t>HC: Hiệu chuẩn</t>
  </si>
  <si>
    <t>BT: Bảo trì</t>
  </si>
  <si>
    <t>Người lập</t>
  </si>
  <si>
    <t>Nguyễn Anh Tuấn</t>
  </si>
  <si>
    <t>Hà Nội, ngày ......... tháng ......... năm 2023</t>
  </si>
  <si>
    <t>KĐ đầu tháng, năm 2022 KĐ tháng 3</t>
  </si>
  <si>
    <t>Đổi tháng sớm hơn, để bên Vilas019 làm</t>
  </si>
  <si>
    <t>KẾ HOẠCH KIỂM ĐỊNH, HIỆU CHUẨN, BẢO TRÌ VÀ ĐÁNH GIÁ THIẾT BỊ NĂM 2023</t>
  </si>
  <si>
    <t>Mã TB</t>
  </si>
  <si>
    <t>Ngày</t>
  </si>
  <si>
    <t>IQ</t>
  </si>
  <si>
    <t>OQ</t>
  </si>
  <si>
    <t>Hỏng</t>
  </si>
  <si>
    <t>Sự kiện</t>
  </si>
  <si>
    <t>Sửa</t>
  </si>
  <si>
    <t>Lỗi</t>
  </si>
  <si>
    <t>Bơm hoạt động nhưng nước không được gia nhiệt</t>
  </si>
  <si>
    <t>Quạt hút không bật</t>
  </si>
  <si>
    <t>Sửa lỗi ngày 02/02/2023: Calib lại đầu đo ext. temp, nhiệt độ chỉ đúng</t>
  </si>
  <si>
    <t>Hỏng công tắc bật quạt, thay công tắc khác</t>
  </si>
  <si>
    <t>Tài liệu đính kèm</t>
  </si>
  <si>
    <t>Người thực hiện</t>
  </si>
  <si>
    <t>Hoàng (Mettler-Toledo)</t>
  </si>
  <si>
    <t>Thiện (Việt Anh)</t>
  </si>
  <si>
    <t>Dự</t>
  </si>
  <si>
    <t>Đạt (VILAS019)</t>
  </si>
  <si>
    <t>Viết tắt</t>
  </si>
  <si>
    <t>Đầy đủ</t>
  </si>
  <si>
    <t>Kiểm định</t>
  </si>
  <si>
    <t>Hiệu chuẩn</t>
  </si>
  <si>
    <t>Bảo trì</t>
  </si>
  <si>
    <t>Đánh giá lắp đặt</t>
  </si>
  <si>
    <t>Đánh giá vận hành</t>
  </si>
  <si>
    <t>Đánh giá hiệu năng</t>
  </si>
  <si>
    <t>L</t>
  </si>
  <si>
    <t>S</t>
  </si>
  <si>
    <t>H</t>
  </si>
  <si>
    <t>Default path</t>
  </si>
  <si>
    <t>Báo "Channel A: motor power too high, servo restart failed, home position out of limit, stroke length misadjusted"</t>
  </si>
  <si>
    <t>Nhiệt độ đo trên máy ~5,5 độ, nhiệt độ đo bằng datalogger ~7,2 độ. Trước đó nhiệt độ datalogger ~5,5 độ.</t>
  </si>
  <si>
    <t>Điện cực Inlab Solids Pro</t>
  </si>
  <si>
    <t>Máy in USB-P25</t>
  </si>
  <si>
    <t>Chiến (Sao Đỏ)</t>
  </si>
  <si>
    <t>Không sửa được, kết luận lỗi do Pump Drive, phải thay</t>
  </si>
  <si>
    <t>Mô tả</t>
  </si>
  <si>
    <t>Nhập mới</t>
  </si>
  <si>
    <t>Quạt kêu to, càng ngày kêu càng to</t>
  </si>
  <si>
    <t>Nguyên nhân do thời tiết ẩm nên đông đá ở quạt (quạt này thổi gió từ chiller). Tắt máy 1 ngày để rã đông hết đá.</t>
  </si>
  <si>
    <t>Thay Pump Drive và chạy thử, không IQ, OQ do không có hợp đồng</t>
  </si>
  <si>
    <t>Người kiểm tra</t>
  </si>
  <si>
    <t>Người duyệt</t>
  </si>
  <si>
    <t>Phó Tổng giám đốc</t>
  </si>
  <si>
    <t>Nguyễn Huy Văn</t>
  </si>
  <si>
    <t>PQ: Thẩm định hiệu năng</t>
  </si>
  <si>
    <t>KN.TB.27</t>
  </si>
  <si>
    <t>Bộ chiết pha rắn LiChrolut</t>
  </si>
  <si>
    <t>Merck Millipore-Mỹ</t>
  </si>
  <si>
    <t>12 vị trí</t>
  </si>
  <si>
    <t>Máy đo điểm chảy OptiMelt MPA100</t>
  </si>
  <si>
    <t>LiChrolut/4501386483</t>
  </si>
  <si>
    <t>Nhận bàn giao</t>
  </si>
  <si>
    <t>Nhận bàn giao từ P. QLCL Traphaco Hưng Yên</t>
  </si>
  <si>
    <t>Tuấn+Vân</t>
  </si>
  <si>
    <t>KB.TB.151</t>
  </si>
  <si>
    <t>Định (VKN QĐ)</t>
  </si>
  <si>
    <t>Phong (Mettler-Toledo)</t>
  </si>
  <si>
    <t>MPA100/122812</t>
  </si>
  <si>
    <t>Stanford Research Systems - Mỹ</t>
  </si>
  <si>
    <t>-10 - 400 độ C</t>
  </si>
  <si>
    <t>YA 201067031</t>
  </si>
  <si>
    <t>Bình khí Ni-tơ (máy HPLC Agilent)</t>
  </si>
  <si>
    <t>Hạn kiểm định: 11/03/2025</t>
  </si>
  <si>
    <t>Phúc</t>
  </si>
  <si>
    <t>Bảo trì bù tháng 1</t>
  </si>
  <si>
    <t>Tùng (SatiCus)</t>
  </si>
  <si>
    <t>KN.TB.02_2023.01.18_BT.pdf</t>
  </si>
  <si>
    <t>KN.TB.05_2023.01.18_BT.pdf</t>
  </si>
  <si>
    <t>KN.TB.20_2023.01.18_BT.pdf</t>
  </si>
  <si>
    <t>KN.TB.48_2023.01.18_BT.pdf</t>
  </si>
  <si>
    <t>KN.TB.14_2023.01.13_BT.pdf</t>
  </si>
  <si>
    <t>KN.TB.50_2023.01.13_BT.pdf</t>
  </si>
  <si>
    <t>KN.TB.54B_2023.01.18_BT.pdf</t>
  </si>
  <si>
    <t>KN.TB.61_2023.01.13_BT.pdf</t>
  </si>
  <si>
    <t>KN.TB.88_2023.01.16_BT.pdf</t>
  </si>
  <si>
    <t>KN.TB.93_2023.01.19_BT.zip</t>
  </si>
  <si>
    <t>KN.TB.99_2023.01.16_BT.pdf</t>
  </si>
  <si>
    <t>KN.TB.105_2023.01.19_BT.zip</t>
  </si>
  <si>
    <t>KN.TB.111_2023.01.13_BT.pdf</t>
  </si>
  <si>
    <t>KN.TB.112_2023.01.13_BT.pdf</t>
  </si>
  <si>
    <t>KN.TB.143_2023.01.19_BT.zip</t>
  </si>
  <si>
    <t>KN.TB.155_2023.01.05_BT.pdf</t>
  </si>
  <si>
    <t>KN.TB.157_2023.01.13_BT.pdf</t>
  </si>
  <si>
    <t>KN.TB.140_2023.01.19_BT.zip</t>
  </si>
  <si>
    <t>KN.TB.164_2023.01.19_BT.zip</t>
  </si>
  <si>
    <t>KN.TB.165_2023.01.19_BT.zip</t>
  </si>
  <si>
    <t>KN.TB.166_2023.01.12_BT.pdf</t>
  </si>
  <si>
    <t>KN.TB.169_2023.01.13_BT.pdf</t>
  </si>
  <si>
    <t>KN.TB.170_2023.01.13_BT.pdf</t>
  </si>
  <si>
    <t>KN.TB.171_2023.01.13_BT.pdf</t>
  </si>
  <si>
    <t>KN.TB.172_2023.01.13_BT.pdf</t>
  </si>
  <si>
    <t>KN.TB.198_2023.01.13_BT.pdf</t>
  </si>
  <si>
    <t>KN.TB.17_2023.02.14_BT.pdf</t>
  </si>
  <si>
    <t>KN.TB.30_2023.02.14_BT.pdf</t>
  </si>
  <si>
    <t>KN.TB.36_2023.02.14_BT.pdf</t>
  </si>
  <si>
    <t>KN.TB.50_2023.02.14_BT.pdf</t>
  </si>
  <si>
    <t>KN.TB.57_2023.02.18_BT.pdf</t>
  </si>
  <si>
    <t>KN.TB.63A_2023.02.14_BT.pdf</t>
  </si>
  <si>
    <t>KN.TB.70_2023.02.14_BT.pdf</t>
  </si>
  <si>
    <t>KN.TB.78_2023.02.07_BT.pdf</t>
  </si>
  <si>
    <t>KN.TB.96_2023.02.11_BT.pdf</t>
  </si>
  <si>
    <t>KN.TB.110_2023.02.27_BT.pdf</t>
  </si>
  <si>
    <t>KN.TB.125_2023.02.14_BT.pdf</t>
  </si>
  <si>
    <t>KN.TB.136_2023.02.18_BT.pdf</t>
  </si>
  <si>
    <t>KN.TB.154_2023.02.11_BT.pdf</t>
  </si>
  <si>
    <t>2023.02.13_Frimed AF140 increased background temperature.pdf</t>
  </si>
  <si>
    <t>2023.02.13_Frimed AF140 noise.mp4</t>
  </si>
  <si>
    <t>2023.02.15_AgilentLabAdvisor_TraceExport.zip</t>
  </si>
  <si>
    <t>2023.02.09_Buy USB-R25, Inlab Solids Pro.zip</t>
  </si>
  <si>
    <t>2023.02.15_Agilent 1260 Pump Drive failed.pdf</t>
  </si>
  <si>
    <t>2023.02.16_Frimed AF140 increased temperature fixed.zip</t>
  </si>
  <si>
    <t>2023.02.21_Change Agilent 1260 Pump Drive.zip</t>
  </si>
  <si>
    <t>Trả P. QLCL Traphaco Hưng Yên</t>
  </si>
  <si>
    <t>Trả</t>
  </si>
  <si>
    <t>&lt;Tháng&gt;</t>
  </si>
  <si>
    <t>CL.TB.33_2023.01.10_HC.pdf</t>
  </si>
  <si>
    <t>KN.TB.184_2023.01.10_HC.pdf</t>
  </si>
  <si>
    <t>KN.TB.185_2023.01.10_HC.pdf</t>
  </si>
  <si>
    <t>KN.TB.186-191_2023.01.10_HC.pdf</t>
  </si>
  <si>
    <t>KN.TB.187-192_2023.01.10_HC.pdf</t>
  </si>
  <si>
    <t>KN.TB.188-193_2023.01.10_HC.pdf</t>
  </si>
  <si>
    <t>KN.TB.189-194_2023.01.10_HC.pdf</t>
  </si>
  <si>
    <t>KN.TB.190-195_2023.01.10_HC.pdf</t>
  </si>
  <si>
    <t>KN.TB.190-196_2023.01.10_HC.pdf</t>
  </si>
  <si>
    <t>KN.TB.197_2023.01.10_HC.pdf</t>
  </si>
  <si>
    <t>KN.TB.158_2023.02.23_PQ.pdf</t>
  </si>
  <si>
    <t>KN.TB.159_2023.02.23_PQ.pdf</t>
  </si>
  <si>
    <t>KN.TB.173_2023.02.11_BT.pdf</t>
  </si>
  <si>
    <t>KN.TB.151_2023.02.01_HC.pdf</t>
  </si>
  <si>
    <t>KN.TB.152_2023.02.01_HC.pdf</t>
  </si>
  <si>
    <t>KN.TB.153_2023.02.01_HC.pdf</t>
  </si>
  <si>
    <t>KN.TB.02_2023.03.11_KĐ.pdf</t>
  </si>
  <si>
    <t>KN.TB.05_2023.03.11_KĐ.pdf</t>
  </si>
  <si>
    <t>KN.TB.20_2023.03.11_KĐ.pdf</t>
  </si>
  <si>
    <t>KN.TB.31_2023.03.11_KĐ.pdf</t>
  </si>
  <si>
    <t>KN.TB.48_2023.03.11_KĐ.pdf</t>
  </si>
  <si>
    <t>KN.TB.88_2023.03.11_KĐ.pdf</t>
  </si>
  <si>
    <t>KN.TB.99_2023.03.11_KĐ.pdf</t>
  </si>
  <si>
    <t>(Không scan)</t>
  </si>
  <si>
    <t>(Không có)</t>
  </si>
  <si>
    <t>Nhập phụ kiện</t>
  </si>
  <si>
    <t>Nhập phụ kiện cho HPLC Hitachi Chromaster</t>
  </si>
  <si>
    <t>2023.02.22_Nhập phụ kiện Hitachi Chromaster.zip</t>
  </si>
  <si>
    <t>Nhập</t>
  </si>
  <si>
    <t>Nhập bình khí Ni-tơ</t>
  </si>
  <si>
    <t>171844006_2023.03.24_Buy Nitrogen tank.zip</t>
  </si>
  <si>
    <t>YA201067031</t>
  </si>
  <si>
    <t>YA201067031_2023.03.14_Buy Nitrogen tank.zip</t>
  </si>
  <si>
    <t>171844006</t>
  </si>
  <si>
    <t>Thiếu</t>
  </si>
  <si>
    <t>KN.TB.151_2023.02.26_BT.pdf</t>
  </si>
  <si>
    <t>KN.TB.152_2023.02.26_BT.pdf</t>
  </si>
  <si>
    <t>KN.TB.153_2023.02.26_BT.pdf</t>
  </si>
  <si>
    <t>Lắp mainboard mới</t>
  </si>
  <si>
    <t>Xuân (DKSH)</t>
  </si>
  <si>
    <t>Mainboard mới để phù hợp với cổng ethernet (chưa lắp ethernet)</t>
  </si>
  <si>
    <t>KN.TB.161_2023.04.11_Install new mainboard.pdf</t>
  </si>
  <si>
    <t>Q:\Q10. QC-2023\Q10. GLP-Thanh Ha\3. THIẾT BỊ\3. KĐ - HC - BT\Năm 2023\04\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</si>
</sst>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i/>
      <u/>
      <sz val="11"/>
      <color theme="1"/>
      <name val="Times New Roman"/>
      <family val="1"/>
    </font>
    <font>
      <i/>
      <sz val="11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0"/>
      <name val="Times New Roman"/>
      <family val="1"/>
    </font>
    <font>
      <sz val="1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wrapText="1"/>
    </xf>
    <xf numFmtId="0" fontId="1" fillId="0" borderId="0" xfId="0" applyFont="1" applyAlignment="1">
      <alignment vertical="center"/>
    </xf>
    <xf numFmtId="0" fontId="1" fillId="2" borderId="0" xfId="0" applyFont="1" applyFill="1"/>
    <xf numFmtId="0" fontId="1" fillId="0" borderId="0" xfId="0" applyFont="1" applyAlignment="1">
      <alignment horizontal="left"/>
    </xf>
    <xf numFmtId="14" fontId="1" fillId="0" borderId="0" xfId="0" applyNumberFormat="1" applyFont="1"/>
    <xf numFmtId="3" fontId="1" fillId="0" borderId="0" xfId="0" applyNumberFormat="1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0" xfId="0" applyFont="1" applyAlignment="1">
      <alignment horizontal="center" vertical="center"/>
    </xf>
    <xf numFmtId="49" fontId="1" fillId="0" borderId="0" xfId="0" applyNumberFormat="1" applyFont="1"/>
    <xf numFmtId="0" fontId="1" fillId="0" borderId="0" xfId="0" quotePrefix="1" applyFont="1"/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/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9" fillId="0" borderId="0" xfId="1" applyFont="1" applyFill="1"/>
    <xf numFmtId="0" fontId="9" fillId="0" borderId="0" xfId="1" applyFont="1"/>
    <xf numFmtId="0" fontId="1" fillId="0" borderId="0" xfId="0" applyFont="1" applyAlignment="1">
      <alignment horizontal="left" vertical="center" wrapText="1"/>
    </xf>
    <xf numFmtId="0" fontId="7" fillId="0" borderId="0" xfId="0" applyFont="1"/>
    <xf numFmtId="0" fontId="7" fillId="0" borderId="0" xfId="0" applyNumberFormat="1" applyFont="1"/>
    <xf numFmtId="0" fontId="10" fillId="0" borderId="0" xfId="1" applyFont="1" applyFill="1"/>
    <xf numFmtId="0" fontId="4" fillId="0" borderId="2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77"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fill>
        <patternFill patternType="solid">
          <fgColor theme="0" tint="-0.14990691854609822"/>
          <bgColor rgb="FFF2F2F2"/>
        </patternFill>
      </fill>
    </dxf>
    <dxf>
      <fill>
        <patternFill patternType="solid">
          <fgColor theme="0" tint="-0.14996795556505021"/>
          <bgColor theme="0" tint="-4.9989318521683403E-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i val="0"/>
        <color auto="1"/>
      </font>
      <fill>
        <patternFill patternType="solid">
          <fgColor theme="1"/>
          <bgColor theme="0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hair">
          <color theme="1"/>
        </top>
        <bottom style="thin">
          <color theme="1"/>
        </bottom>
        <vertical style="hair">
          <color theme="1"/>
        </vertical>
        <horizontal style="hair">
          <color theme="1"/>
        </horizontal>
      </border>
    </dxf>
  </dxfs>
  <tableStyles count="1" defaultTableStyle="TableStyleMedium2" defaultPivotStyle="PivotStyleLight16">
    <tableStyle name="TableStyleMedium1 2" pivot="0" count="7" xr9:uid="{78B3729C-0C37-46DD-A7FE-48970F89A919}">
      <tableStyleElement type="wholeTable" dxfId="76"/>
      <tableStyleElement type="headerRow" dxfId="75"/>
      <tableStyleElement type="totalRow" dxfId="74"/>
      <tableStyleElement type="firstColumn" dxfId="73"/>
      <tableStyleElement type="lastColumn" dxfId="72"/>
      <tableStyleElement type="firstRowStripe" dxfId="71"/>
      <tableStyleElement type="firstColumnStripe" dxfId="70"/>
    </tableStyle>
  </tableStyles>
  <colors>
    <mruColors>
      <color rgb="FFF2F2F2"/>
      <color rgb="FFF9F9F9"/>
      <color rgb="FFFAFAFA"/>
      <color rgb="FFF7F7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6/relationships/vbaProject" Target="vbaProject.bin"/><Relationship Id="rId18" Type="http://schemas.microsoft.com/office/2017/10/relationships/person" Target="persons/person3.xml"/><Relationship Id="rId26" Type="http://schemas.microsoft.com/office/2017/10/relationships/person" Target="persons/person10.xml"/><Relationship Id="rId3" Type="http://schemas.openxmlformats.org/officeDocument/2006/relationships/worksheet" Target="worksheets/sheet3.xml"/><Relationship Id="rId21" Type="http://schemas.microsoft.com/office/2017/10/relationships/person" Target="persons/person5.xml"/><Relationship Id="rId34" Type="http://schemas.microsoft.com/office/2017/10/relationships/person" Target="persons/person18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17/10/relationships/person" Target="persons/person2.xml"/><Relationship Id="rId25" Type="http://schemas.microsoft.com/office/2017/10/relationships/person" Target="persons/person9.xml"/><Relationship Id="rId33" Type="http://schemas.microsoft.com/office/2017/10/relationships/person" Target="persons/person17.xml"/><Relationship Id="rId2" Type="http://schemas.openxmlformats.org/officeDocument/2006/relationships/worksheet" Target="worksheets/sheet2.xml"/><Relationship Id="rId16" Type="http://schemas.microsoft.com/office/2017/10/relationships/person" Target="persons/person0.xml"/><Relationship Id="rId20" Type="http://schemas.microsoft.com/office/2017/10/relationships/person" Target="persons/person4.xml"/><Relationship Id="rId29" Type="http://schemas.microsoft.com/office/2017/10/relationships/person" Target="persons/person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microsoft.com/office/2017/10/relationships/person" Target="persons/person8.xml"/><Relationship Id="rId32" Type="http://schemas.microsoft.com/office/2017/10/relationships/person" Target="persons/person16.xml"/><Relationship Id="rId5" Type="http://schemas.openxmlformats.org/officeDocument/2006/relationships/worksheet" Target="worksheets/sheet5.xml"/><Relationship Id="rId15" Type="http://schemas.microsoft.com/office/2017/10/relationships/person" Target="persons/person1.xml"/><Relationship Id="rId23" Type="http://schemas.microsoft.com/office/2017/10/relationships/person" Target="persons/person7.xml"/><Relationship Id="rId28" Type="http://schemas.microsoft.com/office/2017/10/relationships/person" Target="persons/person12.xml"/><Relationship Id="rId10" Type="http://schemas.openxmlformats.org/officeDocument/2006/relationships/styles" Target="styles.xml"/><Relationship Id="rId19" Type="http://schemas.microsoft.com/office/2017/10/relationships/person" Target="persons/person6.xml"/><Relationship Id="rId31" Type="http://schemas.microsoft.com/office/2017/10/relationships/person" Target="persons/person14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27" Type="http://schemas.microsoft.com/office/2017/10/relationships/person" Target="persons/person.xml"/><Relationship Id="rId30" Type="http://schemas.microsoft.com/office/2017/10/relationships/person" Target="persons/person15.xml"/><Relationship Id="rId22" Type="http://schemas.microsoft.com/office/2017/10/relationships/person" Target="persons/person11.xml"/><Relationship Id="rId8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9525</xdr:rowOff>
        </xdr:from>
        <xdr:to>
          <xdr:col>8</xdr:col>
          <xdr:colOff>114300</xdr:colOff>
          <xdr:row>2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Plan: Data -&gt;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8</xdr:col>
          <xdr:colOff>114300</xdr:colOff>
          <xdr:row>8</xdr:row>
          <xdr:rowOff>133350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Monthly Plan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persons/person5.xml><?xml version="1.0" encoding="utf-8"?>
<personList xmlns="http://schemas.microsoft.com/office/spreadsheetml/2018/threadedcomments" xmlns:x="http://schemas.openxmlformats.org/spreadsheetml/2006/main"/>
</file>

<file path=xl/persons/person6.xml><?xml version="1.0" encoding="utf-8"?>
<personList xmlns="http://schemas.microsoft.com/office/spreadsheetml/2018/threadedcomments" xmlns:x="http://schemas.openxmlformats.org/spreadsheetml/2006/main"/>
</file>

<file path=xl/persons/person7.xml><?xml version="1.0" encoding="utf-8"?>
<personList xmlns="http://schemas.microsoft.com/office/spreadsheetml/2018/threadedcomments" xmlns:x="http://schemas.openxmlformats.org/spreadsheetml/2006/main"/>
</file>

<file path=xl/persons/person8.xml><?xml version="1.0" encoding="utf-8"?>
<personList xmlns="http://schemas.microsoft.com/office/spreadsheetml/2018/threadedcomments" xmlns:x="http://schemas.openxmlformats.org/spreadsheetml/2006/main"/>
</file>

<file path=xl/persons/person9.xml><?xml version="1.0" encoding="utf-8"?>
<personList xmlns="http://schemas.microsoft.com/office/spreadsheetml/2018/threadedcomments" xmlns:x="http://schemas.openxmlformats.org/spreadsheetml/2006/main"/>
</file>

<file path=xl/persons/person10.xml><?xml version="1.0" encoding="utf-8"?>
<personList xmlns="http://schemas.microsoft.com/office/spreadsheetml/2018/threadedcomments" xmlns:x="http://schemas.openxmlformats.org/spreadsheetml/2006/main"/>
</file>

<file path=xl/persons/person11.xml><?xml version="1.0" encoding="utf-8"?>
<personList xmlns="http://schemas.microsoft.com/office/spreadsheetml/2018/threadedcomments" xmlns:x="http://schemas.openxmlformats.org/spreadsheetml/2006/main"/>
</file>

<file path=xl/persons/person12.xml><?xml version="1.0" encoding="utf-8"?>
<personList xmlns="http://schemas.microsoft.com/office/spreadsheetml/2018/threadedcomments" xmlns:x="http://schemas.openxmlformats.org/spreadsheetml/2006/main"/>
</file>

<file path=xl/persons/person13.xml><?xml version="1.0" encoding="utf-8"?>
<personList xmlns="http://schemas.microsoft.com/office/spreadsheetml/2018/threadedcomments" xmlns:x="http://schemas.openxmlformats.org/spreadsheetml/2006/main"/>
</file>

<file path=xl/persons/person14.xml><?xml version="1.0" encoding="utf-8"?>
<personList xmlns="http://schemas.microsoft.com/office/spreadsheetml/2018/threadedcomments" xmlns:x="http://schemas.openxmlformats.org/spreadsheetml/2006/main"/>
</file>

<file path=xl/persons/person15.xml><?xml version="1.0" encoding="utf-8"?>
<personList xmlns="http://schemas.microsoft.com/office/spreadsheetml/2018/threadedcomments" xmlns:x="http://schemas.openxmlformats.org/spreadsheetml/2006/main"/>
</file>

<file path=xl/persons/person16.xml><?xml version="1.0" encoding="utf-8"?>
<personList xmlns="http://schemas.microsoft.com/office/spreadsheetml/2018/threadedcomments" xmlns:x="http://schemas.openxmlformats.org/spreadsheetml/2006/main"/>
</file>

<file path=xl/persons/person17.xml><?xml version="1.0" encoding="utf-8"?>
<personList xmlns="http://schemas.microsoft.com/office/spreadsheetml/2018/threadedcomments" xmlns:x="http://schemas.openxmlformats.org/spreadsheetml/2006/main"/>
</file>

<file path=xl/persons/person18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guyen Anh Tuan (QLCL)" refreshedDate="44943.815491666668" createdVersion="8" refreshedVersion="8" minRefreshableVersion="3" recordCount="232" xr:uid="{C02F4E45-E4C5-461F-8355-03A424865074}">
  <cacheSource type="worksheet">
    <worksheetSource name="EquipmentInfo"/>
  </cacheSource>
  <cacheFields count="20">
    <cacheField name="TT" numFmtId="0">
      <sharedItems containsString="0" containsBlank="1" containsNumber="1" containsInteger="1" minValue="1" maxValue="229"/>
    </cacheField>
    <cacheField name="Mã thiết bị" numFmtId="0">
      <sharedItems/>
    </cacheField>
    <cacheField name="Tên thiết bị" numFmtId="0">
      <sharedItems/>
    </cacheField>
    <cacheField name="Nguyên giá" numFmtId="3">
      <sharedItems containsString="0" containsBlank="1" containsNumber="1" minValue="858000" maxValue="2086236000"/>
    </cacheField>
    <cacheField name="Model/Serial" numFmtId="49">
      <sharedItems containsBlank="1" containsMixedTypes="1" containsNumber="1" containsInteger="1" minValue="17512090" maxValue="26392779667"/>
    </cacheField>
    <cacheField name="Năm SX" numFmtId="0">
      <sharedItems containsString="0" containsBlank="1" containsNumber="1" containsInteger="1" minValue="1998" maxValue="2022"/>
    </cacheField>
    <cacheField name="Xuất xứ" numFmtId="0">
      <sharedItems containsBlank="1"/>
    </cacheField>
    <cacheField name="Ngày nghiệm thu/Bàn giao" numFmtId="14">
      <sharedItems containsNonDate="0" containsDate="1" containsString="0" containsBlank="1" minDate="2002-05-21T00:00:00" maxDate="2022-12-03T00:00:00"/>
    </cacheField>
    <cacheField name="Phòng lắp đặt" numFmtId="0">
      <sharedItems containsBlank="1"/>
    </cacheField>
    <cacheField name="Thông số chính" numFmtId="0">
      <sharedItems containsBlank="1"/>
    </cacheField>
    <cacheField name="KĐ cân" numFmtId="0">
      <sharedItems containsString="0" containsBlank="1" containsNumber="1" containsInteger="1" minValue="12" maxValue="12"/>
    </cacheField>
    <cacheField name="KĐ áp kế" numFmtId="0">
      <sharedItems containsString="0" containsBlank="1" containsNumber="1" containsInteger="1" minValue="12" maxValue="12"/>
    </cacheField>
    <cacheField name="KĐ AT" numFmtId="0">
      <sharedItems containsString="0" containsBlank="1" containsNumber="1" containsInteger="1" minValue="24" maxValue="24"/>
    </cacheField>
    <cacheField name="HC" numFmtId="0">
      <sharedItems containsString="0" containsBlank="1" containsNumber="1" containsInteger="1" minValue="6" maxValue="12"/>
    </cacheField>
    <cacheField name="BT" numFmtId="0">
      <sharedItems containsString="0" containsBlank="1" containsNumber="1" containsInteger="1" minValue="1" maxValue="12"/>
    </cacheField>
    <cacheField name="PQ" numFmtId="0">
      <sharedItems containsString="0" containsBlank="1" containsNumber="1" containsInteger="1" minValue="6" maxValue="12"/>
    </cacheField>
    <cacheField name="Thuê CQ" numFmtId="0">
      <sharedItems containsBlank="1"/>
    </cacheField>
    <cacheField name="Người phụ trách" numFmtId="0">
      <sharedItems count="15">
        <s v="Lan"/>
        <s v="Thắm"/>
        <s v="Hạnh"/>
        <s v="Vân"/>
        <s v="Cường"/>
        <s v="Ngọc"/>
        <s v="Tuấn"/>
        <s v="Đỗ Hà"/>
        <s v="Quý"/>
        <s v="P. HCQT"/>
        <s v="Thanh Hà"/>
        <s v="Phương"/>
        <s v="Na"/>
        <s v="Trang"/>
        <s v="Thúy"/>
      </sharedItems>
    </cacheField>
    <cacheField name="STT tập hồ sơ lưu" numFmtId="0">
      <sharedItems containsBlank="1" containsMixedTypes="1" containsNumber="1" containsInteger="1" minValue="1" maxValue="91"/>
    </cacheField>
    <cacheField name="Ghi chú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2">
  <r>
    <n v="1"/>
    <s v="KN.TB.02"/>
    <s v="Cân Mettler Toledo AB204S"/>
    <n v="30671455"/>
    <s v="AB204-S1127473045"/>
    <n v="2006"/>
    <s v="Mettler Toledo GmbH. (Thuỵ sĩ)"/>
    <d v="2007-03-26T00:00:00"/>
    <s v="Cân"/>
    <s v="10 mg - 200 g; d = 0,1 mg"/>
    <n v="12"/>
    <m/>
    <m/>
    <n v="12"/>
    <n v="3"/>
    <m/>
    <s v="x"/>
    <x v="0"/>
    <n v="2"/>
    <m/>
  </r>
  <r>
    <n v="2"/>
    <s v="KN.TB.03"/>
    <s v="Bếp cách thủy Memmert WB14"/>
    <n v="10000000"/>
    <s v="WB14"/>
    <m/>
    <s v="Eppendorf"/>
    <d v="2003-05-10T00:00:00"/>
    <s v="Hóa lý 1"/>
    <s v="14 L, 6 vị trí, 5 - 100 °C"/>
    <m/>
    <m/>
    <m/>
    <m/>
    <n v="12"/>
    <m/>
    <m/>
    <x v="1"/>
    <n v="85"/>
    <m/>
  </r>
  <r>
    <n v="3"/>
    <s v="KN.TB.05"/>
    <s v="Cân Sartorius CP225D"/>
    <n v="38974932"/>
    <s v="CP 225D/16209442"/>
    <n v="2003"/>
    <s v="Sartorius AG (Đức)"/>
    <d v="2004-06-04T00:00:00"/>
    <s v="Cân"/>
    <s v="1 mg - 200 g; d = 0,1 mg"/>
    <n v="12"/>
    <m/>
    <m/>
    <n v="12"/>
    <n v="3"/>
    <m/>
    <s v="x"/>
    <x v="0"/>
    <n v="2"/>
    <m/>
  </r>
  <r>
    <n v="4"/>
    <s v="KN.TB.06F"/>
    <s v="Bếp cách thủy HH-4"/>
    <n v="3356364"/>
    <s v="HH - 4"/>
    <m/>
    <s v="Trung Quốc"/>
    <d v="2018-03-21T00:00:00"/>
    <s v="Hóa lý 1"/>
    <s v="4 vị trí; Max: 99.9 °C"/>
    <m/>
    <m/>
    <m/>
    <m/>
    <n v="12"/>
    <m/>
    <m/>
    <x v="1"/>
    <n v="78"/>
    <m/>
  </r>
  <r>
    <n v="5"/>
    <s v="KN.TB.08"/>
    <s v="Tủ đóng chất đối chiếu"/>
    <n v="10000000"/>
    <m/>
    <m/>
    <s v="Ct CP Trần Vũ  (Việt Nam)"/>
    <d v="2007-01-01T00:00:00"/>
    <s v="Vật lý"/>
    <m/>
    <m/>
    <m/>
    <m/>
    <m/>
    <n v="12"/>
    <m/>
    <m/>
    <x v="2"/>
    <n v="1"/>
    <m/>
  </r>
  <r>
    <n v="6"/>
    <s v="KN.TB.11"/>
    <s v="Máy đo độ rã Erweka ZT-122"/>
    <n v="92731848"/>
    <s v="ZT-122/11920901fb"/>
    <n v="2007"/>
    <s v="Erweka (Đức)"/>
    <d v="2007-03-18T00:00:00"/>
    <s v="Hòa tan"/>
    <s v="2 vị trí thử"/>
    <m/>
    <m/>
    <m/>
    <n v="12"/>
    <n v="6"/>
    <m/>
    <m/>
    <x v="0"/>
    <n v="11"/>
    <m/>
  </r>
  <r>
    <n v="7"/>
    <s v="KN.TB.13"/>
    <s v="Nồi hấp Hirayama HV-110"/>
    <n v="109838865"/>
    <s v="HV 110/020286428"/>
    <m/>
    <s v="Hirayama (Nhật bản)"/>
    <d v="2003-03-26T00:00:00"/>
    <s v="Vi sinh"/>
    <m/>
    <m/>
    <n v="12"/>
    <n v="24"/>
    <m/>
    <m/>
    <n v="12"/>
    <s v="x"/>
    <x v="3"/>
    <n v="13"/>
    <m/>
  </r>
  <r>
    <n v="8"/>
    <s v="KN.TB.14"/>
    <s v="Lò nung Nabertherm L3/11/B170"/>
    <n v="36254920"/>
    <s v="L3/11/B170"/>
    <m/>
    <s v="Nabertherm (Đức)"/>
    <d v="2007-04-02T00:00:00"/>
    <s v="Nhiệt"/>
    <s v="300 - 3000 °C"/>
    <m/>
    <m/>
    <m/>
    <n v="12"/>
    <n v="3"/>
    <m/>
    <s v="x"/>
    <x v="4"/>
    <n v="14"/>
    <m/>
  </r>
  <r>
    <n v="9"/>
    <s v="KN.TB.17"/>
    <s v="Máy khuấy từ Hanna HI 310"/>
    <m/>
    <m/>
    <m/>
    <s v="Hannal Instruments (Thuỵ sĩ)"/>
    <m/>
    <s v="Hóa lý 1"/>
    <m/>
    <m/>
    <m/>
    <m/>
    <m/>
    <n v="12"/>
    <m/>
    <m/>
    <x v="4"/>
    <n v="17"/>
    <m/>
  </r>
  <r>
    <n v="10"/>
    <s v="KN.TB.20"/>
    <s v="Cân Sartorius CP224S"/>
    <n v="25744909"/>
    <s v="CP 224S/16209417"/>
    <n v="2003"/>
    <s v="Sartorius AG (Đức)"/>
    <d v="2004-06-04T00:00:00"/>
    <s v="Cân"/>
    <s v="10 mg - 200 g; d = 0,1 mg"/>
    <n v="12"/>
    <m/>
    <m/>
    <n v="12"/>
    <n v="3"/>
    <m/>
    <m/>
    <x v="0"/>
    <n v="44"/>
    <m/>
  </r>
  <r>
    <n v="11"/>
    <s v="KN.TB.22"/>
    <s v="Kính hiển vi Olympus CX21"/>
    <n v="13694352"/>
    <s v="CX21FS1/ T3 SN6J24267"/>
    <n v="2006"/>
    <s v="Olympus Cor. (Nhật Bản)"/>
    <d v="2008-08-13T00:00:00"/>
    <s v="Vật lý"/>
    <s v="4x, 10x, 40x, 100x"/>
    <m/>
    <m/>
    <m/>
    <m/>
    <n v="12"/>
    <m/>
    <m/>
    <x v="5"/>
    <n v="17"/>
    <m/>
  </r>
  <r>
    <n v="12"/>
    <s v="KN.TB.23A"/>
    <s v="Máy lắc ngang HY-4"/>
    <n v="4761905"/>
    <s v="HY -  4"/>
    <m/>
    <s v="Trung Quốc"/>
    <d v="2015-07-10T00:00:00"/>
    <s v="Vi sinh"/>
    <m/>
    <m/>
    <m/>
    <m/>
    <m/>
    <n v="12"/>
    <m/>
    <m/>
    <x v="3"/>
    <n v="6"/>
    <m/>
  </r>
  <r>
    <n v="13"/>
    <s v="KN.TB.24"/>
    <s v="Tủ mát Velp FOC 215i"/>
    <n v="63000000"/>
    <s v="FOC 215i"/>
    <m/>
    <s v="Velp - Italia"/>
    <d v="2014-06-13T00:00:00"/>
    <s v="Vi sinh"/>
    <s v="3 - 50 °C; d = 0,5 °C"/>
    <m/>
    <m/>
    <m/>
    <n v="12"/>
    <m/>
    <m/>
    <s v="x"/>
    <x v="3"/>
    <n v="29"/>
    <m/>
  </r>
  <r>
    <n v="14"/>
    <s v="KN.TB.30"/>
    <s v="Bơm chân không KNF"/>
    <n v="24873429"/>
    <s v="N810-FT18"/>
    <m/>
    <s v="KNF Neuberger GmbH (Đức)"/>
    <d v="2002-05-21T00:00:00"/>
    <s v="Hóa lý 1"/>
    <s v="Lưu lượng bơm: 10 L/h"/>
    <m/>
    <m/>
    <m/>
    <m/>
    <n v="12"/>
    <m/>
    <m/>
    <x v="4"/>
    <n v="15"/>
    <m/>
  </r>
  <r>
    <n v="15"/>
    <s v="KN.TB.31"/>
    <s v="Cân Precisa BJ 2100D"/>
    <n v="7969045"/>
    <s v="BJ 2100D/1604-317"/>
    <n v="2001"/>
    <s v="Precisa Instruments AG (Đức)"/>
    <d v="2002-06-08T00:00:00"/>
    <s v="Lấy mẫu"/>
    <s v="Max: 200 g; d = 0,01 g"/>
    <n v="12"/>
    <m/>
    <m/>
    <m/>
    <m/>
    <m/>
    <m/>
    <x v="6"/>
    <n v="28"/>
    <m/>
  </r>
  <r>
    <n v="16"/>
    <s v="KN.TB.34"/>
    <s v="Khúc xạ kế Atago DR-A1"/>
    <n v="52369416"/>
    <s v="DR-A1/032517"/>
    <m/>
    <s v="Atago co.,Ltd. (Nhật bản)"/>
    <d v="2004-03-02T00:00:00"/>
    <s v="Vật lý"/>
    <m/>
    <m/>
    <m/>
    <m/>
    <m/>
    <n v="12"/>
    <m/>
    <m/>
    <x v="4"/>
    <n v="31"/>
    <m/>
  </r>
  <r>
    <n v="17"/>
    <s v="KN.TB.35"/>
    <s v="Tủ sấy Memmert UE400"/>
    <n v="13485429"/>
    <s v="UE 400/D 07926"/>
    <n v="1998"/>
    <s v="Memmert GmbH +Co.KG (Đức)"/>
    <d v="2004-01-03T00:00:00"/>
    <s v="Nhiệt"/>
    <s v="20 - 300 °C; d = 1 °C"/>
    <m/>
    <m/>
    <m/>
    <n v="12"/>
    <m/>
    <m/>
    <s v="x"/>
    <x v="6"/>
    <n v="32"/>
    <m/>
  </r>
  <r>
    <n v="18"/>
    <s v="KN.TB.36"/>
    <s v="Máy lắc ống nghiệm Velp"/>
    <m/>
    <s v="ZX3"/>
    <m/>
    <s v="Velp Scientifica"/>
    <m/>
    <s v="Vi sinh"/>
    <m/>
    <m/>
    <m/>
    <m/>
    <m/>
    <n v="12"/>
    <m/>
    <m/>
    <x v="1"/>
    <n v="6"/>
    <m/>
  </r>
  <r>
    <n v="19"/>
    <s v="KN.TB.38"/>
    <s v="Tủ sấy Memmert UM500"/>
    <n v="18636914"/>
    <s v="UM 500/D 07967"/>
    <n v="2002"/>
    <s v="Memmert GmbH +Co.KG (Đức)"/>
    <d v="2004-01-03T00:00:00"/>
    <s v="Nhiệt"/>
    <s v="30 - 220 °C; d = 1 °C"/>
    <m/>
    <m/>
    <m/>
    <n v="12"/>
    <m/>
    <m/>
    <s v="x"/>
    <x v="6"/>
    <n v="32"/>
    <m/>
  </r>
  <r>
    <n v="20"/>
    <s v="KN.TB.42"/>
    <s v="Máy cất quay Buchi R3"/>
    <n v="244558182"/>
    <s v="R3, bộ ngưng tụ thẳng đứng kiểu V"/>
    <m/>
    <s v="Buchi – Thụy sĩ"/>
    <d v="2014-06-10T00:00:00"/>
    <s v="Hóa lý 1"/>
    <s v="20 - 95 °C, 20 - 280 rpm, pmin = 10 mbar, làm lạnh ở 10 °C"/>
    <m/>
    <m/>
    <m/>
    <m/>
    <n v="12"/>
    <m/>
    <m/>
    <x v="4"/>
    <n v="16"/>
    <m/>
  </r>
  <r>
    <n v="21"/>
    <s v="KN.TB.43"/>
    <s v="Tủ sấy chân không Vacucell"/>
    <n v="59084489"/>
    <s v="VACUCELL – 22/ V 1.03"/>
    <n v="2003"/>
    <s v="MMM medcenter GmbH (Đức)"/>
    <d v="2004-04-03T00:00:00"/>
    <s v="Nhiệt"/>
    <s v="5 - 200 °C; pmin = 5 - 10 mbar"/>
    <m/>
    <n v="12"/>
    <m/>
    <n v="12"/>
    <m/>
    <m/>
    <s v="x"/>
    <x v="4"/>
    <n v="38"/>
    <m/>
  </r>
  <r>
    <n v="22"/>
    <s v="KN.TB.45"/>
    <s v="Phòng sạch (Phòng lấy mẫu)"/>
    <n v="60000000"/>
    <s v="PS.002-2001"/>
    <n v="2003"/>
    <s v="TT nhiệt đới Việt _Nga (VN)"/>
    <d v="2003-12-26T00:00:00"/>
    <s v="Lấy mẫu"/>
    <s v="Lưu lượng gió: 3600 m3/h"/>
    <m/>
    <m/>
    <m/>
    <m/>
    <n v="12"/>
    <m/>
    <m/>
    <x v="7"/>
    <n v="36"/>
    <m/>
  </r>
  <r>
    <n v="23"/>
    <s v="KN.TB.47B"/>
    <s v="Tủ lạnh Daewoo"/>
    <m/>
    <s v="VR – 279 P/WH/"/>
    <n v="2003"/>
    <s v="Daewoo Hanel (VN)"/>
    <d v="2004-02-01T00:00:00"/>
    <s v="Vi sinh"/>
    <s v="278 L, 130 W"/>
    <m/>
    <m/>
    <m/>
    <n v="12"/>
    <m/>
    <m/>
    <m/>
    <x v="3"/>
    <n v="40"/>
    <m/>
  </r>
  <r>
    <n v="24"/>
    <s v="KN.TB.48"/>
    <s v="Cân Quintix 224-1S"/>
    <n v="50000000"/>
    <s v="Quintix 224-IS"/>
    <m/>
    <s v="Sartorius - (Đức)"/>
    <d v="2015-11-03T00:00:00"/>
    <s v="Cân"/>
    <s v="10 mg - 200 g; d = 0,1 mg"/>
    <n v="12"/>
    <m/>
    <m/>
    <n v="12"/>
    <n v="3"/>
    <m/>
    <s v="x"/>
    <x v="0"/>
    <n v="24"/>
    <m/>
  </r>
  <r>
    <n v="25"/>
    <s v="KN.TB.50"/>
    <s v="Vòi cấp cứu"/>
    <n v="10000000"/>
    <s v="XX02 – CC01"/>
    <n v="2003"/>
    <s v="TT nhiệt đới Việt _Nga (VN)"/>
    <m/>
    <s v="Hóa lý 1"/>
    <m/>
    <m/>
    <m/>
    <m/>
    <m/>
    <n v="1"/>
    <m/>
    <m/>
    <x v="5"/>
    <n v="9"/>
    <m/>
  </r>
  <r>
    <n v="26"/>
    <s v="KN.TB.54B"/>
    <s v="Cân đo hàm ẩm Satorius MA150"/>
    <n v="45719700"/>
    <s v="MA 150/000230V1"/>
    <m/>
    <s v="Sartorius AG (Đức)"/>
    <d v="2007-01-03T00:00:00"/>
    <s v="Cân"/>
    <s v="100 mg - 150 g; d = 1 mg"/>
    <n v="12"/>
    <m/>
    <m/>
    <n v="12"/>
    <n v="3"/>
    <m/>
    <s v="x"/>
    <x v="0"/>
    <n v="48"/>
    <m/>
  </r>
  <r>
    <n v="27"/>
    <s v="KN.TB.55"/>
    <s v="Thước kẹp Mitutoyo"/>
    <m/>
    <s v="CD-12”C/1113333"/>
    <m/>
    <s v="Japan"/>
    <d v="2015-01-01T00:00:00"/>
    <s v="Văn phòng QA"/>
    <m/>
    <m/>
    <m/>
    <m/>
    <n v="12"/>
    <m/>
    <m/>
    <s v="x"/>
    <x v="8"/>
    <n v="74"/>
    <m/>
  </r>
  <r>
    <n v="28"/>
    <s v="KN.TB.57"/>
    <s v="Máy hòa tan Pharmatest PTWS 610"/>
    <n v="1052820000"/>
    <s v="PTWS610/20878/2015"/>
    <n v="2015"/>
    <s v="Pharmatest-Đức"/>
    <d v="2015-10-19T00:00:00"/>
    <s v="Hòa tan"/>
    <s v="8 vị trí, 25 - 45 °C, 20 - 250 rpm"/>
    <m/>
    <m/>
    <m/>
    <n v="12"/>
    <n v="6"/>
    <m/>
    <m/>
    <x v="6"/>
    <n v="49"/>
    <m/>
  </r>
  <r>
    <n v="29"/>
    <s v="KN.TB.58"/>
    <s v="Máy HPTLC Camag"/>
    <n v="1126730000"/>
    <s v="TLC Visualizer - Linomat 5"/>
    <m/>
    <s v="Camag - Thụy Sĩ"/>
    <d v="2016-02-01T00:00:00"/>
    <s v="Vật lý"/>
    <m/>
    <m/>
    <m/>
    <m/>
    <m/>
    <n v="12"/>
    <m/>
    <s v="x"/>
    <x v="6"/>
    <n v="70"/>
    <m/>
  </r>
  <r>
    <n v="30"/>
    <s v="KN.TB.60A"/>
    <s v="Tủ ấm INB 500"/>
    <n v="24345235"/>
    <s v="INB 500"/>
    <n v="2005"/>
    <s v="Memmert (GmbH"/>
    <d v="2005-05-07T00:00:00"/>
    <s v="Vi sinh"/>
    <s v="5 - 70 °C; d = 0,5 °C"/>
    <m/>
    <m/>
    <m/>
    <n v="12"/>
    <m/>
    <m/>
    <m/>
    <x v="3"/>
    <n v="52"/>
    <m/>
  </r>
  <r>
    <n v="31"/>
    <s v="KN.TB.61"/>
    <s v="Lò nung Nabertherm L5/11/B170"/>
    <n v="40459067"/>
    <s v="L5/11/B170"/>
    <m/>
    <s v="Nabertherm (Đức)"/>
    <d v="2005-07-15T00:00:00"/>
    <s v="Nhiệt"/>
    <s v="300 - 3000°C"/>
    <m/>
    <m/>
    <m/>
    <n v="12"/>
    <n v="3"/>
    <m/>
    <s v="x"/>
    <x v="4"/>
    <n v="14"/>
    <m/>
  </r>
  <r>
    <n v="32"/>
    <s v="KN.TB.63A"/>
    <s v="Máy khuấy từ Velp"/>
    <m/>
    <s v="10.0160/2021898"/>
    <n v="2002"/>
    <s v="Velp Scientifica Srl (Italia)"/>
    <d v="2005-01-12T00:00:00"/>
    <s v="Hóa lý 1"/>
    <s v="Max: 1100 rpm"/>
    <m/>
    <m/>
    <m/>
    <m/>
    <n v="12"/>
    <m/>
    <m/>
    <x v="0"/>
    <n v="56"/>
    <m/>
  </r>
  <r>
    <n v="33"/>
    <s v="KN.TB.64N4"/>
    <s v="Nhiệt kế thủy tinh (-10 - 100 °C)"/>
    <m/>
    <m/>
    <m/>
    <s v="Germany"/>
    <m/>
    <s v="Hóa lý 2"/>
    <s v="-10 - 100 °C"/>
    <m/>
    <m/>
    <m/>
    <n v="12"/>
    <m/>
    <m/>
    <s v="x"/>
    <x v="6"/>
    <n v="74"/>
    <m/>
  </r>
  <r>
    <n v="34"/>
    <s v="KN.TB.67"/>
    <s v="Hệ thống xử lý khí thải"/>
    <n v="145845000"/>
    <s v="3K 90 – L4/ 1862008.04  (Qu¹t); JES M5/ CH 660 00005 (B¬m)"/>
    <m/>
    <s v="Việt Nam"/>
    <d v="2008-05-31T00:00:00"/>
    <s v="Tầng thượng"/>
    <s v="Lưu lượng max: 40 L/min"/>
    <m/>
    <m/>
    <m/>
    <m/>
    <n v="6"/>
    <m/>
    <m/>
    <x v="9"/>
    <n v="60"/>
    <m/>
  </r>
  <r>
    <n v="35"/>
    <s v="KN.TB.69"/>
    <s v="Máy hồng ngoại Nicolet Avatar 370"/>
    <n v="621677806"/>
    <s v="Avatar 370 DTGS/"/>
    <n v="2004"/>
    <s v="Thermo Electron Co. (Mỹ)"/>
    <d v="2006-07-17T00:00:00"/>
    <s v="Cân"/>
    <m/>
    <m/>
    <m/>
    <m/>
    <n v="12"/>
    <m/>
    <m/>
    <m/>
    <x v="1"/>
    <n v="62"/>
    <m/>
  </r>
  <r>
    <n v="36"/>
    <s v="KN.TB.70"/>
    <s v="Bơm chân không Gast"/>
    <m/>
    <s v="DOA-P704 Shown/DOA -P504-BN 0305610003"/>
    <m/>
    <s v="Gast Manufacturing, Inc.(Mỹ)"/>
    <d v="2006-07-17T00:00:00"/>
    <s v="Vật lý"/>
    <m/>
    <m/>
    <m/>
    <m/>
    <m/>
    <n v="12"/>
    <m/>
    <m/>
    <x v="1"/>
    <n v="63"/>
    <m/>
  </r>
  <r>
    <m/>
    <s v="KN.TB.74A"/>
    <s v="Bể điều nhiệt TC-402D"/>
    <m/>
    <m/>
    <m/>
    <m/>
    <m/>
    <m/>
    <m/>
    <m/>
    <m/>
    <m/>
    <m/>
    <n v="12"/>
    <m/>
    <m/>
    <x v="1"/>
    <m/>
    <m/>
  </r>
  <r>
    <m/>
    <s v="KN.TB.74B"/>
    <s v="Bể điều nhiệt TC-402D"/>
    <m/>
    <m/>
    <m/>
    <m/>
    <m/>
    <m/>
    <m/>
    <m/>
    <m/>
    <m/>
    <m/>
    <n v="12"/>
    <m/>
    <m/>
    <x v="1"/>
    <m/>
    <m/>
  </r>
  <r>
    <n v="37"/>
    <s v="KN.TB.76"/>
    <s v="Bơm chân không Emerson"/>
    <m/>
    <s v="K48ZZECY3322"/>
    <m/>
    <s v="Motor Division (Mỹ)"/>
    <m/>
    <s v="Vi sinh"/>
    <m/>
    <m/>
    <m/>
    <m/>
    <m/>
    <n v="12"/>
    <m/>
    <m/>
    <x v="3"/>
    <n v="65"/>
    <m/>
  </r>
  <r>
    <n v="38"/>
    <s v="KN.TB.78"/>
    <s v="Máy pH Mettler Toledo S20K"/>
    <n v="16476191"/>
    <s v="Seven Easy pH- S20K"/>
    <m/>
    <s v="Trung quốc"/>
    <d v="2008-09-12T00:00:00"/>
    <s v="Hóa lý 1"/>
    <m/>
    <m/>
    <m/>
    <m/>
    <n v="12"/>
    <n v="6"/>
    <m/>
    <m/>
    <x v="10"/>
    <n v="67"/>
    <m/>
  </r>
  <r>
    <n v="39"/>
    <s v="KN.TB.85"/>
    <s v="Bộ chiết Soxhlet Gerhardt EV 16"/>
    <n v="59072727"/>
    <s v="EV 16/"/>
    <m/>
    <s v="Đức"/>
    <d v="2010-01-01T00:00:00"/>
    <s v="Nhiệt"/>
    <s v="tmax = 425 °C"/>
    <m/>
    <m/>
    <m/>
    <m/>
    <n v="12"/>
    <m/>
    <m/>
    <x v="5"/>
    <n v="56"/>
    <m/>
  </r>
  <r>
    <n v="40"/>
    <s v="KN.TB.87"/>
    <s v="Tủ sấy Memmert UNB200"/>
    <n v="22372500"/>
    <s v="UNB 200/210.1699"/>
    <m/>
    <s v="Đức"/>
    <d v="2011-05-01T00:00:00"/>
    <s v="Nhiệt"/>
    <s v="5 - 220 °C; d = 0,5 °C"/>
    <m/>
    <m/>
    <m/>
    <n v="12"/>
    <m/>
    <m/>
    <s v="x"/>
    <x v="6"/>
    <n v="68"/>
    <m/>
  </r>
  <r>
    <n v="41"/>
    <s v="KN.TB.88"/>
    <s v="Cân Precisa BJ 410C"/>
    <n v="16060909"/>
    <s v="BJ 410C/1654464"/>
    <m/>
    <s v="Thụy Sĩ"/>
    <d v="2011-01-26T00:00:00"/>
    <s v="Chuẩn bị môi trường"/>
    <s v="10 - 400 g; d = 0,01 g"/>
    <n v="12"/>
    <m/>
    <m/>
    <n v="12"/>
    <n v="3"/>
    <m/>
    <s v="x"/>
    <x v="3"/>
    <n v="59"/>
    <m/>
  </r>
  <r>
    <n v="42"/>
    <s v="KN.TB.91"/>
    <s v="Máy AAS Thermo iCE 3500"/>
    <n v="907500000"/>
    <s v="iCE 3500"/>
    <m/>
    <s v="Thermo Scientific"/>
    <d v="2014-08-05T00:00:00"/>
    <s v="Vật lý"/>
    <s v="190 - 850 nm"/>
    <m/>
    <m/>
    <m/>
    <n v="12"/>
    <n v="12"/>
    <m/>
    <s v="x"/>
    <x v="6"/>
    <n v="19"/>
    <m/>
  </r>
  <r>
    <n v="43"/>
    <s v="KN.TB.93"/>
    <s v="Máy HPLC Agilent 1260"/>
    <n v="1257600000"/>
    <s v="Agilent 1260"/>
    <m/>
    <s v="Agilent Technologies (Mỹ)"/>
    <d v="2013-05-07T00:00:00"/>
    <s v="Vật lý"/>
    <s v="Detector DAD, tiêm tự động, Vtiêm = 1 - 100 µL"/>
    <m/>
    <m/>
    <m/>
    <n v="12"/>
    <n v="6"/>
    <n v="12"/>
    <s v="x"/>
    <x v="10"/>
    <s v="33, 34"/>
    <m/>
  </r>
  <r>
    <n v="44"/>
    <s v="KN.TB.94"/>
    <s v="Máy hút chân không LD-300"/>
    <m/>
    <s v="LD-300"/>
    <m/>
    <s v="Trung Quốc"/>
    <d v="2013-07-01T00:00:00"/>
    <s v="Kho tầng 6"/>
    <m/>
    <m/>
    <m/>
    <m/>
    <m/>
    <n v="12"/>
    <m/>
    <m/>
    <x v="3"/>
    <n v="21"/>
    <m/>
  </r>
  <r>
    <n v="45"/>
    <s v="KN.TB.95"/>
    <s v="Máy thử độ kín Pharmatest"/>
    <m/>
    <s v="DOA – P504 – BN (Bơm)"/>
    <m/>
    <s v="Pharmatest-Đức"/>
    <d v="2013-09-01T00:00:00"/>
    <s v="Hóa lý 2"/>
    <s v="Lưu lượng dòng: 472 cm3/s, chân không 61 cmHg"/>
    <m/>
    <m/>
    <m/>
    <m/>
    <n v="12"/>
    <m/>
    <m/>
    <x v="11"/>
    <n v="7"/>
    <m/>
  </r>
  <r>
    <n v="46"/>
    <s v="KN.TB.96"/>
    <s v="Máy pH Mettler Toledo S220"/>
    <n v="45175455"/>
    <s v="S220-Kit/B535373509"/>
    <n v="2015"/>
    <s v="Mettler"/>
    <d v="2016-04-04T00:00:00"/>
    <s v="Hóa lý 1"/>
    <s v="0 - 20 pH; d = 0,001/0,01/0,1 pH"/>
    <m/>
    <m/>
    <m/>
    <n v="12"/>
    <n v="6"/>
    <m/>
    <s v="x"/>
    <x v="10"/>
    <n v="71"/>
    <m/>
  </r>
  <r>
    <n v="47"/>
    <s v="KN.TB.97"/>
    <s v="Máy đo độ dẫn Mettler Toledo S230"/>
    <n v="38863636"/>
    <s v="S230-Kit/B512733242"/>
    <n v="2015"/>
    <s v="Mettler"/>
    <d v="2016-04-04T00:00:00"/>
    <s v="Hóa lý 1"/>
    <s v="0,001 µS/cm - 1000 mS/cm"/>
    <m/>
    <m/>
    <m/>
    <n v="12"/>
    <n v="6"/>
    <m/>
    <m/>
    <x v="10"/>
    <n v="71"/>
    <m/>
  </r>
  <r>
    <n v="48"/>
    <s v="KN.TB.99"/>
    <s v="Cân Shimadzu UW420H"/>
    <n v="20000000"/>
    <s v="UW420H/D447260078"/>
    <n v="2014"/>
    <s v="Shimadzu"/>
    <d v="2016-01-04T00:00:00"/>
    <s v="Thử độ nhiễm khuẩn"/>
    <s v="100 mg - 400 g; d = 1 mg"/>
    <n v="12"/>
    <m/>
    <m/>
    <n v="12"/>
    <n v="3"/>
    <m/>
    <s v="x"/>
    <x v="3"/>
    <n v="44"/>
    <m/>
  </r>
  <r>
    <n v="49"/>
    <s v="KN.TB.105"/>
    <s v="Máy HPLC Hitachi Chromaster"/>
    <n v="1109000000"/>
    <s v="Chromaster"/>
    <m/>
    <s v="Hitachi - Nhật Bản"/>
    <d v="2015-01-01T00:00:00"/>
    <s v="HPLC"/>
    <s v="Detector DAD, tiêm tự động"/>
    <m/>
    <m/>
    <m/>
    <n v="12"/>
    <n v="6"/>
    <n v="12"/>
    <s v="x"/>
    <x v="10"/>
    <n v="80"/>
    <m/>
  </r>
  <r>
    <n v="50"/>
    <s v="KN.TB.106"/>
    <s v="Máy lọc nước Merck Mili Q A10"/>
    <n v="422463000"/>
    <s v="Milli-Q Advantage A10/F6EA57764K/2016N "/>
    <n v="2016"/>
    <s v="Merck Millipore-Pháp"/>
    <d v="2016-09-19T00:00:00"/>
    <s v="Rửa"/>
    <s v="Nước đầu ra: 0,055 µS/cm, 18,2MΩ.cm, TOC &lt; 5 ppb, &lt; 1 cfu/ml"/>
    <m/>
    <m/>
    <m/>
    <n v="12"/>
    <n v="6"/>
    <m/>
    <s v="x"/>
    <x v="5"/>
    <n v="71"/>
    <m/>
  </r>
  <r>
    <n v="51"/>
    <s v="KN.TB.108"/>
    <s v="Máy hàn túi Yuzhong SF-150"/>
    <n v="4000000"/>
    <s v="SF-150"/>
    <m/>
    <s v="YUZHONG - Trung Quốc"/>
    <d v="2016-05-01T00:00:00"/>
    <s v="Nhiệt"/>
    <s v="Max: 300 °C"/>
    <m/>
    <m/>
    <m/>
    <m/>
    <n v="12"/>
    <m/>
    <m/>
    <x v="7"/>
    <n v="6"/>
    <m/>
  </r>
  <r>
    <n v="52"/>
    <s v="KN.TB.109"/>
    <s v="Tủ lạnh Hitachi"/>
    <n v="19668182"/>
    <s v="R-VG615PGV3/2140600025"/>
    <m/>
    <s v="Hitachi - Thái Lan"/>
    <d v="2017-08-24T00:00:00"/>
    <s v="Cân"/>
    <s v="510 L, Inverter"/>
    <m/>
    <m/>
    <m/>
    <m/>
    <n v="12"/>
    <m/>
    <s v="x"/>
    <x v="3"/>
    <n v="75"/>
    <m/>
  </r>
  <r>
    <n v="53"/>
    <s v="KN.TB.110"/>
    <s v="Máy UV-Vis Hitachi U-3900H"/>
    <n v="504545455"/>
    <s v="616J1198"/>
    <n v="2017"/>
    <s v="Hitachi - Nhật Bản"/>
    <d v="2017-11-27T00:00:00"/>
    <s v="Vật lý"/>
    <s v="190 - 900 nm"/>
    <m/>
    <m/>
    <m/>
    <n v="12"/>
    <n v="6"/>
    <m/>
    <s v="x"/>
    <x v="6"/>
    <n v="76"/>
    <m/>
  </r>
  <r>
    <n v="54"/>
    <s v="KN.TB.111"/>
    <s v="Tủ hút 5"/>
    <m/>
    <s v="HY-513"/>
    <m/>
    <s v="Việt Nam"/>
    <d v="2018-02-03T00:00:00"/>
    <s v="Hóa lý 1"/>
    <m/>
    <m/>
    <m/>
    <m/>
    <m/>
    <n v="3"/>
    <m/>
    <m/>
    <x v="4"/>
    <n v="77"/>
    <m/>
  </r>
  <r>
    <n v="55"/>
    <s v="KN.TB.112"/>
    <s v="Tủ hút 6"/>
    <m/>
    <s v="HY-513"/>
    <m/>
    <s v="Việt Nam"/>
    <d v="2018-02-03T00:00:00"/>
    <s v="Hóa lý I"/>
    <m/>
    <m/>
    <m/>
    <m/>
    <m/>
    <n v="3"/>
    <m/>
    <m/>
    <x v="4"/>
    <n v="77"/>
    <m/>
  </r>
  <r>
    <n v="56"/>
    <s v="KN.TB.113"/>
    <s v="Máy lắc siêu âm GT Sonic VGT 1990"/>
    <n v="11454545"/>
    <s v="GT Sonic"/>
    <m/>
    <s v="Trung Quốc"/>
    <d v="2018-03-21T00:00:00"/>
    <s v="Hóa lý 1"/>
    <s v="1 mức độ siêu âm"/>
    <m/>
    <m/>
    <m/>
    <n v="12"/>
    <m/>
    <m/>
    <m/>
    <x v="1"/>
    <n v="78"/>
    <m/>
  </r>
  <r>
    <n v="57"/>
    <s v="KN.TB.115"/>
    <s v="Tủ mát Velp FOC 215i"/>
    <n v="71974100"/>
    <s v="FOC215i"/>
    <m/>
    <s v="Velp - Italia"/>
    <d v="2018-05-31T00:00:00"/>
    <s v="Vi sinh"/>
    <s v="3 - 50 °C; d = 0,5 °C"/>
    <m/>
    <m/>
    <m/>
    <n v="12"/>
    <m/>
    <m/>
    <s v="x"/>
    <x v="3"/>
    <n v="29"/>
    <m/>
  </r>
  <r>
    <n v="58"/>
    <s v="KN.TB.116"/>
    <s v="Máy đo nhiệt Testo 925"/>
    <n v="3036000"/>
    <s v="34801142/710"/>
    <m/>
    <s v="Testo - Đức"/>
    <d v="2018-03-20T00:00:00"/>
    <s v="Nhiệt"/>
    <s v="-50 - 1000°C"/>
    <m/>
    <m/>
    <m/>
    <n v="12"/>
    <m/>
    <m/>
    <s v="x"/>
    <x v="6"/>
    <n v="79"/>
    <m/>
  </r>
  <r>
    <n v="59"/>
    <s v="KN.TB.117"/>
    <s v="Máy đo nhiệt Testo 925"/>
    <n v="3036000"/>
    <s v="34801153/710"/>
    <m/>
    <s v="Testo - Đức"/>
    <d v="2018-03-20T00:00:00"/>
    <s v="Vi sinh"/>
    <s v="-50 - 1000°C"/>
    <m/>
    <m/>
    <m/>
    <n v="12"/>
    <m/>
    <m/>
    <s v="x"/>
    <x v="6"/>
    <n v="79"/>
    <m/>
  </r>
  <r>
    <n v="60"/>
    <s v="KN.TB.118"/>
    <s v="Đầu đo nhiệt -50 - 400°C"/>
    <n v="858000"/>
    <m/>
    <m/>
    <s v="Testo - Đức"/>
    <d v="2018-03-20T00:00:00"/>
    <s v="Vi sinh"/>
    <s v="-50 - 400°C"/>
    <m/>
    <m/>
    <m/>
    <n v="12"/>
    <m/>
    <m/>
    <s v="x"/>
    <x v="6"/>
    <n v="79"/>
    <m/>
  </r>
  <r>
    <n v="61"/>
    <s v="KN.TB.120"/>
    <s v="Đầu đo nhiệt -50 - 400°C"/>
    <n v="858000"/>
    <m/>
    <m/>
    <s v="Testo - Đức"/>
    <d v="2018-03-20T00:00:00"/>
    <s v="Nhiệt"/>
    <s v="-50 - 1000°C"/>
    <m/>
    <m/>
    <m/>
    <n v="12"/>
    <m/>
    <m/>
    <s v="x"/>
    <x v="6"/>
    <n v="79"/>
    <m/>
  </r>
  <r>
    <n v="62"/>
    <s v="KN.TB.121"/>
    <s v="Nhiệt kế vẩy Maxima (-10 - 150°C)"/>
    <n v="880000"/>
    <m/>
    <m/>
    <s v="Maxima"/>
    <d v="2018-03-20T00:00:00"/>
    <s v="Vi sinh"/>
    <s v="-10 - 150°C"/>
    <m/>
    <m/>
    <m/>
    <n v="12"/>
    <m/>
    <m/>
    <s v="x"/>
    <x v="3"/>
    <n v="74"/>
    <m/>
  </r>
  <r>
    <n v="63"/>
    <s v="KN.TB.123"/>
    <s v="Thước inox Swordfish 500 mm"/>
    <m/>
    <m/>
    <m/>
    <s v="Swordfish"/>
    <m/>
    <s v="Văn phòng QA"/>
    <s v="500 mm"/>
    <m/>
    <m/>
    <m/>
    <n v="12"/>
    <m/>
    <m/>
    <s v="x"/>
    <x v="8"/>
    <n v="74"/>
    <m/>
  </r>
  <r>
    <n v="64"/>
    <s v="KN.TB.125"/>
    <s v="Máy ly tâm Universal 320"/>
    <n v="158000000"/>
    <s v="Universal 320/ SN: 0010404-11"/>
    <n v="2019"/>
    <s v="Hettich - Đức"/>
    <d v="2019-05-15T00:00:00"/>
    <s v="Hóa lý 1"/>
    <s v="Tốc độ tối đa: 16.000 rpm"/>
    <m/>
    <m/>
    <m/>
    <m/>
    <n v="12"/>
    <m/>
    <s v="x"/>
    <x v="4"/>
    <n v="83"/>
    <m/>
  </r>
  <r>
    <n v="65"/>
    <s v="KN.TB.126"/>
    <s v="Micropipette 20 - 200 µL"/>
    <m/>
    <s v="P46387E"/>
    <m/>
    <s v="Eppendorf"/>
    <m/>
    <s v="Vi sinh"/>
    <s v="20 - 200 µL"/>
    <m/>
    <m/>
    <m/>
    <n v="6"/>
    <m/>
    <m/>
    <s v="x"/>
    <x v="3"/>
    <s v="D5/QLCL"/>
    <m/>
  </r>
  <r>
    <n v="66"/>
    <s v="KN.TB.127"/>
    <s v="Micropipette 100 - 1000 µL"/>
    <m/>
    <n v="17512090"/>
    <m/>
    <s v="Hirschmann"/>
    <m/>
    <s v="Vi sinh"/>
    <s v="100 - 1000 µL"/>
    <m/>
    <m/>
    <m/>
    <n v="6"/>
    <m/>
    <m/>
    <s v="x"/>
    <x v="3"/>
    <s v="D5/QLCL"/>
    <m/>
  </r>
  <r>
    <n v="67"/>
    <s v="KN.TB.128"/>
    <s v="Micropipette 100 - 1000 µL"/>
    <m/>
    <s v="R28582F"/>
    <m/>
    <s v="Eppendorf"/>
    <m/>
    <s v="Vi sinh"/>
    <s v="100 - 1000 µL"/>
    <m/>
    <m/>
    <m/>
    <n v="6"/>
    <m/>
    <m/>
    <s v="x"/>
    <x v="3"/>
    <s v="D5/QLCL"/>
    <m/>
  </r>
  <r>
    <n v="68"/>
    <s v="KN.TB.129"/>
    <s v="Bếp cách thủy HH-4"/>
    <m/>
    <s v="HH-4"/>
    <m/>
    <s v="Trung Quốc"/>
    <d v="2019-07-22T00:00:00"/>
    <s v="Hóa lý 1"/>
    <s v="4 vị trí; Max: 99.9 °C"/>
    <m/>
    <m/>
    <m/>
    <m/>
    <n v="12"/>
    <m/>
    <m/>
    <x v="1"/>
    <n v="83"/>
    <m/>
  </r>
  <r>
    <n v="69"/>
    <s v="KN.TB.130"/>
    <s v="Máy lắc ngang HY-4"/>
    <m/>
    <s v="HY-4"/>
    <m/>
    <s v="Trung Quốc"/>
    <d v="2019-09-05T00:00:00"/>
    <s v="Hóa lý 1"/>
    <s v="0 - 100 °C"/>
    <m/>
    <m/>
    <m/>
    <m/>
    <n v="12"/>
    <m/>
    <m/>
    <x v="1"/>
    <n v="83"/>
    <m/>
  </r>
  <r>
    <n v="70"/>
    <s v="KN.TB.131"/>
    <s v="Nhiệt kế thủy tinh (0 - 100 °C)"/>
    <m/>
    <m/>
    <m/>
    <m/>
    <m/>
    <s v="Hóa lý 1 (tủ lạnh Hitachi)"/>
    <s v="0 - 100 °C"/>
    <m/>
    <m/>
    <m/>
    <n v="12"/>
    <m/>
    <m/>
    <m/>
    <x v="1"/>
    <s v="D5/QLCL"/>
    <m/>
  </r>
  <r>
    <n v="71"/>
    <s v="KN.TB.132"/>
    <s v="Nhiệt kế thủy tinh (0 - 100 °C)"/>
    <m/>
    <m/>
    <m/>
    <m/>
    <m/>
    <s v="Hóa lý 1 (tủ lạnh Hitachi)"/>
    <s v="0 - 100 °C"/>
    <m/>
    <m/>
    <m/>
    <n v="12"/>
    <m/>
    <m/>
    <m/>
    <x v="1"/>
    <s v="D5/QLCL"/>
    <m/>
  </r>
  <r>
    <n v="72"/>
    <s v="KN.TB.133"/>
    <s v="Nhiệt kế thủy tinh (0 - 100 °C)"/>
    <m/>
    <m/>
    <m/>
    <m/>
    <m/>
    <s v="Hóa lý 1 (tủ lạnh Hitachi)"/>
    <s v="0 - 100 °C"/>
    <m/>
    <m/>
    <m/>
    <n v="12"/>
    <m/>
    <m/>
    <m/>
    <x v="1"/>
    <s v="D5/QLCL"/>
    <m/>
  </r>
  <r>
    <n v="73"/>
    <s v="KN.TB.134"/>
    <s v="Nhiệt kế thủy tinh (0 - 100 °C)"/>
    <m/>
    <m/>
    <m/>
    <m/>
    <m/>
    <s v="Hóa lý 1 (tủ lạnh Hitachi)"/>
    <s v="0 - 100 °C"/>
    <m/>
    <m/>
    <m/>
    <n v="12"/>
    <m/>
    <m/>
    <m/>
    <x v="1"/>
    <s v="D5/QLCL"/>
    <m/>
  </r>
  <r>
    <n v="74"/>
    <s v="KN.TB.136"/>
    <s v="Máy hòa tan Pharmatest PTWS 1220"/>
    <n v="1995000000"/>
    <s v="PTWS1220/26306"/>
    <m/>
    <s v="Pharmatest-Đức"/>
    <d v="2019-12-20T00:00:00"/>
    <s v="Hòa tan"/>
    <s v="12 vị trí, 25 - 45 °C, 20 - 250 rpm"/>
    <m/>
    <m/>
    <m/>
    <n v="12"/>
    <n v="6"/>
    <m/>
    <s v="x"/>
    <x v="6"/>
    <n v="12"/>
    <m/>
  </r>
  <r>
    <n v="75"/>
    <s v="KN.TB.137"/>
    <s v="Đầu đo nhiệt -50 - 400°C"/>
    <m/>
    <m/>
    <m/>
    <s v="Testo - Đức"/>
    <d v="2018-03-20T00:00:00"/>
    <s v="Nhiệt"/>
    <s v="-50 - 400°C"/>
    <m/>
    <m/>
    <m/>
    <n v="12"/>
    <m/>
    <m/>
    <s v="x"/>
    <x v="6"/>
    <n v="79"/>
    <m/>
  </r>
  <r>
    <n v="76"/>
    <s v="KN.TB.138"/>
    <s v="Máy lấy mẫu không khí MiniCapt 100 M"/>
    <n v="310200000"/>
    <s v="Minicapt 100 M"/>
    <m/>
    <s v="Partical Measuring Systems - Italy"/>
    <d v="2015-02-09T00:00:00"/>
    <s v="Vi sinh"/>
    <s v="Max: 100 L/phút"/>
    <m/>
    <m/>
    <m/>
    <n v="12"/>
    <m/>
    <m/>
    <s v="x"/>
    <x v="3"/>
    <n v="85"/>
    <m/>
  </r>
  <r>
    <n v="77"/>
    <s v="KN.TB.139"/>
    <s v="Micropipette 1 - 10 mL"/>
    <m/>
    <s v="O53321H"/>
    <m/>
    <s v="Eppendorf"/>
    <m/>
    <s v="Vi sinh"/>
    <s v="1 - 10 mL"/>
    <m/>
    <m/>
    <m/>
    <n v="6"/>
    <m/>
    <m/>
    <s v="x"/>
    <x v="3"/>
    <s v="D5/QLCL"/>
    <m/>
  </r>
  <r>
    <n v="78"/>
    <s v="KN.TB.140"/>
    <s v="Máy HPLC Hitachi Chromaster"/>
    <n v="1222000000"/>
    <s v="Chromaster"/>
    <m/>
    <s v="Hitachi - Nhật Bản"/>
    <d v="2020-12-03T00:00:00"/>
    <s v="HPLC"/>
    <s v="Detector DAD, tiêm tự động"/>
    <m/>
    <m/>
    <m/>
    <n v="12"/>
    <n v="6"/>
    <n v="12"/>
    <s v="x"/>
    <x v="6"/>
    <n v="61"/>
    <m/>
  </r>
  <r>
    <n v="79"/>
    <s v="KN.TB.142"/>
    <s v="Máy chuẩn độ điện thế Metrohm 848"/>
    <m/>
    <s v="848 Titrino Plus"/>
    <m/>
    <s v="Metrohm"/>
    <m/>
    <s v="Hóa lý 1"/>
    <m/>
    <m/>
    <m/>
    <m/>
    <n v="12"/>
    <m/>
    <m/>
    <m/>
    <x v="10"/>
    <n v="84"/>
    <m/>
  </r>
  <r>
    <n v="80"/>
    <s v="KN.TB.143"/>
    <s v="Máy HPLC Agilent 1260 Infinity II"/>
    <n v="1815707000"/>
    <s v="Agilent 1260 Infinity II"/>
    <m/>
    <m/>
    <d v="2021-06-08T00:00:00"/>
    <s v="HPLC"/>
    <s v="Detector DAD, tiêm tự động"/>
    <m/>
    <m/>
    <m/>
    <n v="12"/>
    <n v="6"/>
    <n v="12"/>
    <m/>
    <x v="6"/>
    <n v="4"/>
    <m/>
  </r>
  <r>
    <n v="81"/>
    <s v="KN.TB.144"/>
    <s v="Nồi hấp Hirayama HV-110"/>
    <n v="217700000"/>
    <s v="HV 110/30521012650"/>
    <m/>
    <s v="Hirayama (Nhật bản)"/>
    <d v="2021-06-21T00:00:00"/>
    <s v="Vi sinh"/>
    <m/>
    <m/>
    <n v="12"/>
    <n v="24"/>
    <m/>
    <m/>
    <n v="12"/>
    <m/>
    <x v="3"/>
    <n v="85"/>
    <m/>
  </r>
  <r>
    <n v="82"/>
    <s v="KN.TB.145"/>
    <s v="Máy phá mẫu vi sóng MiniWAVE"/>
    <n v="589000000"/>
    <s v="MiniWAVE, S/N: MWA3020320127"/>
    <m/>
    <s v="SCP Science - Canada"/>
    <d v="2021-10-27T00:00:00"/>
    <s v="Vật lý"/>
    <s v="6 vị trí"/>
    <m/>
    <m/>
    <m/>
    <m/>
    <n v="12"/>
    <m/>
    <m/>
    <x v="6"/>
    <n v="86"/>
    <m/>
  </r>
  <r>
    <n v="83"/>
    <s v="KN.TB.146"/>
    <s v="Máy lắc siêu âm Elma S"/>
    <m/>
    <s v="Elmasonic S 60 H"/>
    <m/>
    <s v="Elma - Đức"/>
    <d v="2021-06-08T00:00:00"/>
    <s v="Hóa lý 1"/>
    <s v="37 kHz; 5,75 L"/>
    <m/>
    <m/>
    <m/>
    <m/>
    <n v="12"/>
    <m/>
    <m/>
    <x v="1"/>
    <n v="51"/>
    <m/>
  </r>
  <r>
    <n v="84"/>
    <s v="KN.TB.147"/>
    <s v="Máy lắc siêu âm Elma P"/>
    <m/>
    <s v="Elmasonic P 60 H"/>
    <m/>
    <s v="Elma - Đức"/>
    <d v="2021-06-08T00:00:00"/>
    <s v="Hóa lý 1"/>
    <s v="37 kHz/80kHz; 5,75 L"/>
    <m/>
    <m/>
    <m/>
    <m/>
    <n v="12"/>
    <m/>
    <m/>
    <x v="1"/>
    <n v="51"/>
    <m/>
  </r>
  <r>
    <n v="85"/>
    <s v="KN.TB.148"/>
    <s v="Máy lắc siêu âm GT Sonic D9"/>
    <m/>
    <s v="D9"/>
    <m/>
    <s v="Trung Quốc"/>
    <d v="2021-09-16T00:00:00"/>
    <s v="Hóa lý 1"/>
    <s v="40 kHz; 9 L"/>
    <m/>
    <m/>
    <m/>
    <m/>
    <n v="12"/>
    <m/>
    <m/>
    <x v="1"/>
    <n v="51"/>
    <m/>
  </r>
  <r>
    <n v="86"/>
    <s v="KN.TB.149"/>
    <s v="Máy tạo viên đo hồng ngoại Pike"/>
    <n v="70400000"/>
    <s v="Pixie/2117034"/>
    <m/>
    <s v="Pike"/>
    <d v="2021-10-16T00:00:00"/>
    <s v="Cân"/>
    <m/>
    <m/>
    <m/>
    <m/>
    <m/>
    <n v="12"/>
    <m/>
    <m/>
    <x v="1"/>
    <n v="51"/>
    <m/>
  </r>
  <r>
    <n v="87"/>
    <s v="KN.TB.150"/>
    <s v="Phân cực kế Kruss P3000"/>
    <n v="380800000"/>
    <s v="P3000"/>
    <m/>
    <s v="Kruss - Đức"/>
    <d v="2021-12-28T00:00:00"/>
    <s v="Vật lý"/>
    <s v="Độ phân giải 0,01°"/>
    <m/>
    <m/>
    <m/>
    <n v="12"/>
    <n v="12"/>
    <m/>
    <s v="x"/>
    <x v="6"/>
    <n v="57"/>
    <m/>
  </r>
  <r>
    <n v="88"/>
    <s v="KN.TB.151"/>
    <s v="Cân Mettler Toledo XSR205DU"/>
    <n v="267890000"/>
    <s v="XSR205DU"/>
    <m/>
    <s v="Mettler-Todedo"/>
    <d v="2022-01-27T00:00:00"/>
    <s v="Cân"/>
    <s v="d=0,01 mg"/>
    <n v="12"/>
    <m/>
    <m/>
    <n v="12"/>
    <n v="3"/>
    <m/>
    <m/>
    <x v="12"/>
    <n v="82"/>
    <m/>
  </r>
  <r>
    <n v="89"/>
    <s v="KN.TB.152"/>
    <s v="Cân Mettler Toledo XSR204"/>
    <n v="228370000"/>
    <s v="XSR204"/>
    <m/>
    <s v="Mettler-Todedo"/>
    <d v="2022-01-27T00:00:00"/>
    <s v="Cân"/>
    <s v="d=0,1 mg"/>
    <n v="12"/>
    <m/>
    <m/>
    <n v="12"/>
    <n v="3"/>
    <m/>
    <m/>
    <x v="12"/>
    <n v="82"/>
    <m/>
  </r>
  <r>
    <n v="90"/>
    <s v="KN.TB.153"/>
    <s v="Cân Mettler Toledo XSR303S"/>
    <n v="188158000"/>
    <s v="XSR303S"/>
    <m/>
    <s v="Mettler-Todedo"/>
    <d v="2022-01-27T00:00:00"/>
    <s v="Cân"/>
    <s v="d=1 mg"/>
    <n v="12"/>
    <m/>
    <m/>
    <n v="12"/>
    <n v="3"/>
    <m/>
    <m/>
    <x v="12"/>
    <n v="82"/>
    <m/>
  </r>
  <r>
    <n v="91"/>
    <s v="KN.TB.154"/>
    <s v="Máy pH/độ dẫn Mettler Toledo S470"/>
    <n v="125950000"/>
    <s v="S470-Kit"/>
    <m/>
    <s v="Mettler-Todedo"/>
    <d v="2022-01-27T00:00:00"/>
    <s v="Hóa lý 1"/>
    <m/>
    <m/>
    <m/>
    <m/>
    <n v="12"/>
    <n v="6"/>
    <m/>
    <m/>
    <x v="6"/>
    <n v="27"/>
    <m/>
  </r>
  <r>
    <n v="92"/>
    <s v="KN.TB.155"/>
    <s v="Máy đo độ nhớt Lamy 1st Pro+"/>
    <n v="87700000"/>
    <s v="First Pro Plus"/>
    <m/>
    <s v="Lamy Rheology Instruments"/>
    <d v="2022-01-10T00:00:00"/>
    <s v="Hòa tan"/>
    <s v="0,05 - 13 mNm"/>
    <m/>
    <m/>
    <m/>
    <m/>
    <n v="6"/>
    <m/>
    <m/>
    <x v="12"/>
    <n v="39"/>
    <m/>
  </r>
  <r>
    <n v="93"/>
    <s v="KN.TB.156"/>
    <s v="Tủ vi khí hậu Binder KBF 720"/>
    <n v="657800000"/>
    <s v="KBF 720 (E6)"/>
    <m/>
    <s v="Binder - Đức"/>
    <d v="2022-02-15T00:00:00"/>
    <s v="Theo dõi ĐÔĐ"/>
    <s v="0 - 70°C, 10 - 80% RH"/>
    <m/>
    <m/>
    <m/>
    <n v="12"/>
    <n v="3"/>
    <m/>
    <m/>
    <x v="13"/>
    <n v="30"/>
    <m/>
  </r>
  <r>
    <n v="94"/>
    <s v="KN.TB.157"/>
    <s v="Máy chuẩn bị MTHT ezfill+"/>
    <n v="546700000"/>
    <s v="ezfill+"/>
    <m/>
    <s v="Distek"/>
    <d v="2022-01-10T00:00:00"/>
    <s v="Hòa tan"/>
    <s v="900 mL"/>
    <m/>
    <m/>
    <m/>
    <m/>
    <n v="6"/>
    <m/>
    <m/>
    <x v="12"/>
    <n v="39"/>
    <m/>
  </r>
  <r>
    <n v="95"/>
    <s v="KN.TB.158"/>
    <s v="Tủ an toàn sinh học cấp II SafeFast Classic 212D"/>
    <n v="326160000"/>
    <m/>
    <m/>
    <m/>
    <m/>
    <s v="Vi sinh"/>
    <m/>
    <m/>
    <m/>
    <m/>
    <m/>
    <m/>
    <n v="6"/>
    <s v="x"/>
    <x v="3"/>
    <n v="90"/>
    <m/>
  </r>
  <r>
    <n v="96"/>
    <s v="KN.TB.159"/>
    <s v="Tủ an toàn sinh học cấp II Airtech"/>
    <n v="220000000"/>
    <s v="Airtech"/>
    <m/>
    <m/>
    <m/>
    <s v="Vi sinh"/>
    <m/>
    <m/>
    <m/>
    <m/>
    <m/>
    <m/>
    <n v="6"/>
    <s v="x"/>
    <x v="3"/>
    <n v="90"/>
    <m/>
  </r>
  <r>
    <n v="97"/>
    <s v="KN.TB.160"/>
    <s v="Tủ ấm Binder KF170"/>
    <n v="220032000"/>
    <s v="KF170/20220000005142"/>
    <m/>
    <m/>
    <m/>
    <s v="Vi sinh"/>
    <m/>
    <m/>
    <m/>
    <m/>
    <n v="12"/>
    <m/>
    <m/>
    <s v="x"/>
    <x v="3"/>
    <n v="91"/>
    <m/>
  </r>
  <r>
    <n v="98"/>
    <s v="KN.TB.161"/>
    <s v="Tủ sấy Binder ED56"/>
    <n v="248832000"/>
    <s v="ED56/20220000004858"/>
    <m/>
    <m/>
    <m/>
    <s v="Nhiệt"/>
    <m/>
    <m/>
    <m/>
    <m/>
    <n v="12"/>
    <m/>
    <m/>
    <s v="x"/>
    <x v="4"/>
    <n v="30"/>
    <m/>
  </r>
  <r>
    <n v="99"/>
    <s v="KN.TB.162"/>
    <s v="Đồng hồ bấm giây"/>
    <m/>
    <s v="Arc"/>
    <m/>
    <m/>
    <m/>
    <s v="Hóa lý 1"/>
    <m/>
    <m/>
    <m/>
    <m/>
    <n v="12"/>
    <m/>
    <m/>
    <s v="x"/>
    <x v="4"/>
    <m/>
    <m/>
  </r>
  <r>
    <n v="100"/>
    <s v="KN.TB.163"/>
    <s v="Đồng hồ bấm giây"/>
    <m/>
    <s v="Arc"/>
    <m/>
    <m/>
    <m/>
    <s v="Hóa lý 2"/>
    <m/>
    <m/>
    <m/>
    <m/>
    <n v="12"/>
    <m/>
    <m/>
    <s v="x"/>
    <x v="4"/>
    <m/>
    <m/>
  </r>
  <r>
    <n v="101"/>
    <s v="KN.TB.164"/>
    <s v="Máy HPLC Waters Arc số 1"/>
    <n v="2079000000"/>
    <m/>
    <m/>
    <m/>
    <m/>
    <s v="HPLC"/>
    <m/>
    <m/>
    <m/>
    <m/>
    <n v="12"/>
    <n v="6"/>
    <n v="12"/>
    <s v="x"/>
    <x v="13"/>
    <m/>
    <m/>
  </r>
  <r>
    <n v="102"/>
    <s v="KN.TB.165"/>
    <s v="Máy HPLC Waters Arc số 2"/>
    <n v="1585440000"/>
    <m/>
    <m/>
    <m/>
    <m/>
    <s v="HPLC"/>
    <m/>
    <m/>
    <m/>
    <m/>
    <n v="12"/>
    <n v="6"/>
    <n v="12"/>
    <s v="x"/>
    <x v="13"/>
    <m/>
    <m/>
  </r>
  <r>
    <n v="103"/>
    <s v="KN.TB.166"/>
    <s v="Lò nung Naberthern L5/11/B510"/>
    <n v="211680000"/>
    <s v="Lò: L5/11_x000a_Controller: B510"/>
    <n v="2022"/>
    <s v="Nabertherm (Đức)"/>
    <m/>
    <s v="Nhiệt"/>
    <m/>
    <m/>
    <m/>
    <m/>
    <n v="12"/>
    <n v="3"/>
    <m/>
    <m/>
    <x v="4"/>
    <m/>
    <m/>
  </r>
  <r>
    <n v="104"/>
    <s v="KN.TB.167"/>
    <s v="Tủ lạnh Frimed AF140"/>
    <n v="223300000.00000003"/>
    <s v="AF140/Serial: FF3737FM31021"/>
    <m/>
    <s v="Fri.Med - Italia"/>
    <m/>
    <s v="Cân"/>
    <m/>
    <m/>
    <m/>
    <m/>
    <n v="12"/>
    <m/>
    <m/>
    <m/>
    <x v="4"/>
    <m/>
    <m/>
  </r>
  <r>
    <n v="105"/>
    <s v="KN.TB.168"/>
    <s v="Datalogger Testo Saveris 2-H2"/>
    <n v="18700000"/>
    <m/>
    <m/>
    <s v="Testo - Đức"/>
    <m/>
    <s v="Cân"/>
    <m/>
    <m/>
    <m/>
    <m/>
    <n v="12"/>
    <m/>
    <m/>
    <m/>
    <x v="6"/>
    <m/>
    <m/>
  </r>
  <r>
    <n v="106"/>
    <s v="KN.TB.169"/>
    <s v="Tủ hút 1"/>
    <n v="278700000"/>
    <m/>
    <m/>
    <s v="Phượng Hải - Việt Nam"/>
    <m/>
    <s v="Hóa lý 1"/>
    <m/>
    <m/>
    <m/>
    <m/>
    <m/>
    <n v="3"/>
    <m/>
    <m/>
    <x v="4"/>
    <m/>
    <m/>
  </r>
  <r>
    <n v="107"/>
    <s v="KN.TB.170"/>
    <s v="Tủ hút 2"/>
    <n v="278700000"/>
    <m/>
    <m/>
    <s v="Phượng Hải - Việt Nam"/>
    <m/>
    <s v="Hóa lý 1"/>
    <m/>
    <m/>
    <m/>
    <m/>
    <m/>
    <n v="3"/>
    <m/>
    <m/>
    <x v="4"/>
    <m/>
    <m/>
  </r>
  <r>
    <n v="108"/>
    <s v="KN.TB.171"/>
    <s v="Tủ hút 3"/>
    <n v="129000000"/>
    <m/>
    <m/>
    <s v="Phượng Hải - Việt Nam"/>
    <m/>
    <s v="Hóa lý 1"/>
    <m/>
    <m/>
    <m/>
    <m/>
    <m/>
    <n v="3"/>
    <m/>
    <m/>
    <x v="4"/>
    <m/>
    <m/>
  </r>
  <r>
    <n v="109"/>
    <s v="KN.TB.172"/>
    <s v="Tủ hút 4"/>
    <n v="129000000"/>
    <m/>
    <m/>
    <s v="Phượng Hải - Việt Nam"/>
    <m/>
    <s v="Hóa lý 1"/>
    <m/>
    <m/>
    <m/>
    <m/>
    <m/>
    <n v="3"/>
    <m/>
    <m/>
    <x v="4"/>
    <m/>
    <m/>
  </r>
  <r>
    <n v="110"/>
    <s v="KN.TB.173"/>
    <s v="Hệ thống HVAC phòng vi sinh"/>
    <n v="546967065"/>
    <m/>
    <m/>
    <s v="Việt Nam"/>
    <m/>
    <s v="Vi sinh"/>
    <m/>
    <m/>
    <m/>
    <m/>
    <m/>
    <n v="3"/>
    <n v="12"/>
    <m/>
    <x v="3"/>
    <m/>
    <m/>
  </r>
  <r>
    <n v="111"/>
    <s v="KN.TB.174"/>
    <s v="Passbox 1"/>
    <n v="48924000"/>
    <m/>
    <m/>
    <s v="Việt Nam"/>
    <m/>
    <s v="Vi sinh"/>
    <s v="Có thổi khí"/>
    <m/>
    <m/>
    <m/>
    <m/>
    <n v="12"/>
    <m/>
    <m/>
    <x v="3"/>
    <m/>
    <m/>
  </r>
  <r>
    <n v="112"/>
    <s v="KN.TB.175"/>
    <s v="Passbox 2"/>
    <n v="48924000"/>
    <m/>
    <m/>
    <s v="Việt Nam"/>
    <m/>
    <s v="Vi sinh"/>
    <s v="Có thổi khí"/>
    <m/>
    <m/>
    <m/>
    <m/>
    <n v="12"/>
    <m/>
    <m/>
    <x v="3"/>
    <m/>
    <m/>
  </r>
  <r>
    <n v="113"/>
    <s v="KN.TB.176"/>
    <s v="Passbox 3"/>
    <n v="35000000"/>
    <m/>
    <m/>
    <s v="Việt Nam"/>
    <m/>
    <s v="Vi sinh"/>
    <s v="Không thổi khí"/>
    <m/>
    <m/>
    <m/>
    <m/>
    <n v="12"/>
    <m/>
    <m/>
    <x v="3"/>
    <m/>
    <m/>
  </r>
  <r>
    <n v="114"/>
    <s v="KN.TB.177"/>
    <s v="Passbox 4"/>
    <n v="35000000"/>
    <m/>
    <m/>
    <s v="Việt Nam"/>
    <m/>
    <s v="Vi sinh"/>
    <s v="Không thổi khí"/>
    <m/>
    <m/>
    <m/>
    <m/>
    <n v="12"/>
    <m/>
    <m/>
    <x v="3"/>
    <m/>
    <m/>
  </r>
  <r>
    <n v="115"/>
    <s v="KN.TB.178"/>
    <s v="Máy lắc siêu âm GT Sonic D20"/>
    <n v="18350000"/>
    <m/>
    <m/>
    <s v="GT Sonic - Trung Quốc"/>
    <m/>
    <s v="Hóa lý 1"/>
    <m/>
    <m/>
    <m/>
    <m/>
    <m/>
    <n v="12"/>
    <m/>
    <m/>
    <x v="1"/>
    <m/>
    <m/>
  </r>
  <r>
    <n v="116"/>
    <s v="KN.TB.179"/>
    <s v="Máy lắc ngang Dlab SK-L330-Pro"/>
    <n v="22000000"/>
    <m/>
    <m/>
    <s v="DLab - Mỹ"/>
    <m/>
    <s v="Vi sinh"/>
    <m/>
    <m/>
    <m/>
    <m/>
    <m/>
    <n v="12"/>
    <m/>
    <m/>
    <x v="3"/>
    <m/>
    <m/>
  </r>
  <r>
    <n v="117"/>
    <s v="KN.TB.180"/>
    <s v="Máy đo điểm chảy"/>
    <m/>
    <m/>
    <m/>
    <m/>
    <m/>
    <m/>
    <m/>
    <m/>
    <m/>
    <m/>
    <n v="12"/>
    <m/>
    <m/>
    <m/>
    <x v="4"/>
    <m/>
    <m/>
  </r>
  <r>
    <n v="118"/>
    <s v="KN.TB.181"/>
    <s v="Máy đo vòng vô khuẩn"/>
    <m/>
    <m/>
    <m/>
    <m/>
    <m/>
    <m/>
    <m/>
    <m/>
    <m/>
    <m/>
    <n v="12"/>
    <m/>
    <m/>
    <m/>
    <x v="3"/>
    <m/>
    <m/>
  </r>
  <r>
    <n v="119"/>
    <s v="KN.TB.182"/>
    <s v="Máy đo kích thước tiểu phân Mastesizer M3000"/>
    <n v="2086236000"/>
    <m/>
    <m/>
    <m/>
    <m/>
    <s v="Vật lý"/>
    <m/>
    <m/>
    <m/>
    <m/>
    <m/>
    <n v="12"/>
    <m/>
    <s v="x"/>
    <x v="6"/>
    <m/>
    <m/>
  </r>
  <r>
    <n v="120"/>
    <s v="KN.TB.183A"/>
    <s v="Chênh áp kế"/>
    <m/>
    <m/>
    <m/>
    <s v="MAGRFHELIC"/>
    <m/>
    <s v="Chuẩn bị môi trường - khu vi sinh"/>
    <s v="Phạm vi đo: (0÷60)Pa, độ chia nhỏ nhất d=2Pa, sai số: ± 2 % FS"/>
    <m/>
    <m/>
    <m/>
    <n v="12"/>
    <m/>
    <m/>
    <s v="x"/>
    <x v="3"/>
    <m/>
    <m/>
  </r>
  <r>
    <n v="121"/>
    <s v="KN.TB.183B"/>
    <s v="Chênh áp kế"/>
    <m/>
    <m/>
    <m/>
    <s v="MAGRFHELIC"/>
    <m/>
    <s v="Thay trang phục cấp D - khu vi sinh"/>
    <s v="Phạm vi đo: (0÷60)Pa, độ chia nhỏ nhất d=2Pa, sai số: ± 2 % FS"/>
    <m/>
    <m/>
    <m/>
    <n v="12"/>
    <m/>
    <m/>
    <s v="x"/>
    <x v="3"/>
    <m/>
    <m/>
  </r>
  <r>
    <n v="122"/>
    <s v="KN.TB.183C"/>
    <s v="Chênh áp kế"/>
    <m/>
    <m/>
    <m/>
    <s v="MAGRFHELIC"/>
    <m/>
    <s v="Hành lang cấp D - khu vi sinh"/>
    <s v="Phạm vi đo: (0÷60)Pa, độ chia nhỏ nhất d=2Pa, sai số: ± 2 % FS"/>
    <m/>
    <m/>
    <m/>
    <n v="12"/>
    <m/>
    <m/>
    <s v="x"/>
    <x v="3"/>
    <m/>
    <m/>
  </r>
  <r>
    <n v="123"/>
    <s v="KN.TB.183D"/>
    <s v="Chênh áp kế"/>
    <m/>
    <m/>
    <m/>
    <s v="MAGRFHELIC"/>
    <m/>
    <s v="Định lượng kháng sinh - khu vi sinh"/>
    <s v="Phạm vi đo: (0÷60)Pa, độ chia nhỏ nhất d=2Pa, sai số: ± 2 % FS"/>
    <m/>
    <m/>
    <m/>
    <n v="12"/>
    <m/>
    <m/>
    <s v="x"/>
    <x v="3"/>
    <m/>
    <m/>
  </r>
  <r>
    <n v="124"/>
    <s v="KN.TB.183E"/>
    <s v="Chênh áp kế"/>
    <m/>
    <m/>
    <m/>
    <s v="MAGRFHELIC"/>
    <m/>
    <s v="Nuôi cấy - khu vi sinh"/>
    <s v="Phạm vi đo: (0÷60)Pa, độ chia nhỏ nhất d=2Pa, sai số: ± 2 % FS"/>
    <m/>
    <m/>
    <m/>
    <n v="12"/>
    <m/>
    <m/>
    <s v="x"/>
    <x v="3"/>
    <m/>
    <m/>
  </r>
  <r>
    <n v="125"/>
    <s v="KN.TB.183F"/>
    <s v="Chênh áp kế"/>
    <m/>
    <m/>
    <m/>
    <s v="MAGRFHELIC"/>
    <m/>
    <s v="Độ nhiễm khuẩn - khu vi sinh"/>
    <s v="Phạm vi đo: (0÷60)Pa, độ chia nhỏ nhất d=2Pa, sai số: ± 2 % FS"/>
    <m/>
    <m/>
    <m/>
    <n v="12"/>
    <m/>
    <m/>
    <s v="x"/>
    <x v="3"/>
    <m/>
    <m/>
  </r>
  <r>
    <n v="126"/>
    <s v="KN.TB.183G"/>
    <s v="Chênh áp kế"/>
    <m/>
    <m/>
    <m/>
    <s v="MAGRFHELIC"/>
    <m/>
    <s v="Hấp sấy - khu vi sinh"/>
    <s v="Phạm vi đo: (0÷60)Pa, độ chia nhỏ nhất d=2Pa, sai số: ± 2 % FS"/>
    <m/>
    <m/>
    <m/>
    <n v="12"/>
    <m/>
    <m/>
    <s v="x"/>
    <x v="3"/>
    <m/>
    <m/>
  </r>
  <r>
    <n v="127"/>
    <s v="KN.TB.183H"/>
    <s v="Chênh áp kế"/>
    <m/>
    <m/>
    <m/>
    <s v="MAGRFHELIC"/>
    <m/>
    <s v="Tầng 6 AHU vi sinh (đo chênh áp màng lọc HEPA F1-2 P.ĐLKS)"/>
    <s v="Phạm vi đo: (0÷750)Pa, độ chia nhỏ nhất d=25Pa, sai số: ± 4 % FS"/>
    <m/>
    <m/>
    <m/>
    <n v="12"/>
    <m/>
    <m/>
    <s v="x"/>
    <x v="3"/>
    <m/>
    <m/>
  </r>
  <r>
    <n v="128"/>
    <s v="KN.TB.183I"/>
    <s v="Chênh áp kế"/>
    <m/>
    <m/>
    <m/>
    <s v="MAGRFHELIC"/>
    <m/>
    <s v="Tầng 6 AHU vi sinh (đo chênh áp màng lọc HEPA F2-4 Hành lang D2)"/>
    <s v="Phạm vi đo: (0÷750)Pa, độ chia nhỏ nhất d=25Pa, sai số: ± 4 % FS"/>
    <m/>
    <m/>
    <m/>
    <n v="12"/>
    <m/>
    <m/>
    <s v="x"/>
    <x v="3"/>
    <m/>
    <m/>
  </r>
  <r>
    <n v="129"/>
    <s v="KN.TB.183J"/>
    <s v="Chênh áp kế"/>
    <m/>
    <m/>
    <m/>
    <s v="MAGRFHELIC"/>
    <m/>
    <s v="Tầng 6 AHU vi sinh (đo chênh áp màng lọc HEPA F2-1 P.Chuẩn bị môi trường)"/>
    <s v="Phạm vi đo: (0÷750)Pa, độ chia nhỏ nhất d=25Pa, sai số: ± 4 % FS"/>
    <m/>
    <m/>
    <m/>
    <n v="12"/>
    <m/>
    <m/>
    <s v="x"/>
    <x v="3"/>
    <m/>
    <m/>
  </r>
  <r>
    <n v="130"/>
    <s v="KN.TB.183K"/>
    <s v="Chênh áp kế"/>
    <m/>
    <m/>
    <m/>
    <s v="MAGRFHELIC"/>
    <m/>
    <s v="Tầng 6 AHU vi sinh (đo chênh áp màng lọc HEPA F2-5 Hành lang D1)"/>
    <s v="Phạm vi đo: (0÷750)Pa, độ chia nhỏ nhất d=25Pa, sai số: ± 4 % FS"/>
    <m/>
    <m/>
    <m/>
    <n v="12"/>
    <m/>
    <m/>
    <s v="x"/>
    <x v="3"/>
    <m/>
    <m/>
  </r>
  <r>
    <n v="131"/>
    <s v="KN.TB.183L"/>
    <s v="Chênh áp kế"/>
    <m/>
    <m/>
    <m/>
    <s v="MAGRFHELIC"/>
    <m/>
    <s v="Tầng 6 AHU vi sinh (đo chênh áp màng lọc HEPA F1-3 P.Nuôi cấy)"/>
    <s v="Phạm vi đo: (0÷750)Pa, độ chia nhỏ nhất d=25Pa, sai số: ± 4 % FS"/>
    <m/>
    <m/>
    <m/>
    <n v="12"/>
    <m/>
    <m/>
    <s v="x"/>
    <x v="3"/>
    <m/>
    <m/>
  </r>
  <r>
    <n v="132"/>
    <s v="KN.TB.183M"/>
    <s v="Chênh áp kế"/>
    <m/>
    <m/>
    <m/>
    <s v="MAGRFHELIC"/>
    <m/>
    <s v="Tầng 6 AHU vi sinh (đo chênh áp màng lọc HEPA F2-3 P. hấp sấy)"/>
    <s v="Phạm vi đo: (0÷750)Pa, độ chia nhỏ nhất d=25Pa, sai số: ± 4 % FS"/>
    <m/>
    <m/>
    <m/>
    <n v="12"/>
    <m/>
    <m/>
    <s v="x"/>
    <x v="3"/>
    <m/>
    <m/>
  </r>
  <r>
    <n v="133"/>
    <s v="KN.TB.183N"/>
    <s v="Chênh áp kế"/>
    <m/>
    <m/>
    <m/>
    <s v="MAGRFHELIC"/>
    <m/>
    <s v="Tầng 6 AHU vi sinh (đo chênh áp màng lọc HEPA F1-1 P. thay đồ D)"/>
    <s v="Phạm vi đo: (0÷750)Pa, độ chia nhỏ nhất d=25Pa, sai số: ± 4 % FS"/>
    <m/>
    <m/>
    <m/>
    <n v="12"/>
    <m/>
    <m/>
    <s v="x"/>
    <x v="3"/>
    <m/>
    <m/>
  </r>
  <r>
    <n v="134"/>
    <s v="KN.TB.183O"/>
    <s v="Chênh áp kế"/>
    <m/>
    <m/>
    <m/>
    <s v="MAGRFHELIC"/>
    <m/>
    <s v="Tầng 6 AHU vi sinh (đo chênh áp màng lọc HEPA F2-2 P. thử độ nhiễm khuẩn)"/>
    <s v="Phạm vi đo: (0÷750)Pa, độ chia nhỏ nhất d=25Pa, sai số: ± 4 % FS"/>
    <m/>
    <m/>
    <m/>
    <n v="12"/>
    <m/>
    <m/>
    <s v="x"/>
    <x v="3"/>
    <m/>
    <m/>
  </r>
  <r>
    <n v="135"/>
    <s v="KN.TB.183P"/>
    <s v="Chênh áp kế"/>
    <m/>
    <m/>
    <m/>
    <s v="MAGRFHELIC"/>
    <m/>
    <s v="Tầng 6 AHU vi sinh (đo chênh áp màng lọc G4/F8 AHU)"/>
    <s v="Phạm vi đo: (0÷500)Pa, độ chia nhỏ nhất d=10Pa, sai số: ± 4 % FS"/>
    <m/>
    <m/>
    <m/>
    <n v="12"/>
    <m/>
    <m/>
    <s v="x"/>
    <x v="3"/>
    <m/>
    <m/>
  </r>
  <r>
    <n v="136"/>
    <s v="KN.TB.184"/>
    <s v="Datalogger testo Saveris 2-H1"/>
    <n v="9507240"/>
    <s v="0054781207"/>
    <m/>
    <s v="Testo - Đức"/>
    <d v="2022-12-01T00:00:00"/>
    <s v="Nhận mẫu"/>
    <s v="-30 - 50 °C; 0 - 100 % RH"/>
    <m/>
    <m/>
    <m/>
    <n v="12"/>
    <m/>
    <m/>
    <s v="x"/>
    <x v="6"/>
    <m/>
    <m/>
  </r>
  <r>
    <n v="137"/>
    <s v="KN.TB.185"/>
    <s v="Datalogger testo Saveris 2-H1"/>
    <n v="9507240"/>
    <s v="0054790200"/>
    <m/>
    <s v="Testo - Đức"/>
    <d v="2022-12-01T00:00:00"/>
    <s v="Lưu mẫu"/>
    <s v="-30 - 50 °C; 0 - 100 % RH"/>
    <m/>
    <m/>
    <m/>
    <n v="12"/>
    <m/>
    <m/>
    <s v="x"/>
    <x v="6"/>
    <m/>
    <m/>
  </r>
  <r>
    <n v="138"/>
    <s v="KN.TB.186"/>
    <s v="Datalogger testo Saveris 2-T2"/>
    <n v="5711040"/>
    <s v="0054718734"/>
    <m/>
    <s v="Testo - Đức"/>
    <d v="2022-12-01T00:00:00"/>
    <s v="Vi sinh"/>
    <s v="-50 - 150 °C (2 kênh)"/>
    <m/>
    <m/>
    <m/>
    <n v="12"/>
    <m/>
    <m/>
    <s v="x"/>
    <x v="6"/>
    <m/>
    <m/>
  </r>
  <r>
    <n v="139"/>
    <s v="KN.TB.187"/>
    <s v="Datalogger testo Saveris 2-T2"/>
    <n v="5711040"/>
    <s v="0054718181"/>
    <m/>
    <s v="Testo - Đức"/>
    <d v="2022-12-01T00:00:00"/>
    <s v="Vi sinh"/>
    <s v="-50 - 150 °C (2 kênh)"/>
    <m/>
    <m/>
    <m/>
    <n v="12"/>
    <m/>
    <m/>
    <s v="x"/>
    <x v="6"/>
    <m/>
    <m/>
  </r>
  <r>
    <n v="140"/>
    <s v="KN.TB.188"/>
    <s v="Datalogger testo Saveris 2-T2"/>
    <n v="5711040"/>
    <s v="0054718663"/>
    <m/>
    <s v="Testo - Đức"/>
    <d v="2022-12-01T00:00:00"/>
    <s v="Vi sinh"/>
    <s v="-50 - 150 °C (2 kênh)"/>
    <m/>
    <m/>
    <m/>
    <n v="12"/>
    <m/>
    <m/>
    <s v="x"/>
    <x v="6"/>
    <m/>
    <m/>
  </r>
  <r>
    <n v="141"/>
    <s v="KN.TB.189"/>
    <s v="Datalogger testo Saveris 2-T2"/>
    <n v="5711040"/>
    <s v="0054717249"/>
    <m/>
    <s v="Testo - Đức"/>
    <d v="2022-12-01T00:00:00"/>
    <s v="Vi sinh"/>
    <s v="-50 - 150 °C (2 kênh)"/>
    <m/>
    <m/>
    <m/>
    <n v="12"/>
    <m/>
    <m/>
    <s v="x"/>
    <x v="6"/>
    <m/>
    <m/>
  </r>
  <r>
    <n v="142"/>
    <s v="KN.TB.190"/>
    <s v="Datalogger testo Saveris 2-T2"/>
    <n v="5711040"/>
    <s v="0054718458"/>
    <m/>
    <s v="Testo - Đức"/>
    <d v="2022-12-01T00:00:00"/>
    <s v="Cân"/>
    <s v="-50 - 150 °C (2 kênh)"/>
    <m/>
    <m/>
    <m/>
    <n v="12"/>
    <m/>
    <m/>
    <s v="x"/>
    <x v="6"/>
    <m/>
    <m/>
  </r>
  <r>
    <n v="143"/>
    <s v="KN.TB.191"/>
    <s v="Sensor NTC dẹt"/>
    <n v="2216160"/>
    <m/>
    <m/>
    <s v="Testo - Đức"/>
    <d v="2022-12-01T00:00:00"/>
    <s v="Vi sinh"/>
    <s v="-40 - 125 °C"/>
    <m/>
    <m/>
    <m/>
    <n v="12"/>
    <m/>
    <m/>
    <s v="x"/>
    <x v="6"/>
    <m/>
    <m/>
  </r>
  <r>
    <n v="144"/>
    <s v="KN.TB.192"/>
    <s v="Sensor NTC dẹt"/>
    <n v="2216160"/>
    <m/>
    <m/>
    <s v="Testo - Đức"/>
    <d v="2022-12-01T00:00:00"/>
    <s v="Vi sinh"/>
    <s v="-40 - 125 °C"/>
    <m/>
    <m/>
    <m/>
    <n v="12"/>
    <m/>
    <m/>
    <s v="x"/>
    <x v="6"/>
    <m/>
    <m/>
  </r>
  <r>
    <n v="145"/>
    <s v="KN.TB.193"/>
    <s v="Sensor NTC dẹt"/>
    <n v="2216160"/>
    <m/>
    <m/>
    <s v="Testo - Đức"/>
    <d v="2022-12-01T00:00:00"/>
    <s v="Vi sinh"/>
    <s v="-40 - 125 °C"/>
    <m/>
    <m/>
    <m/>
    <n v="12"/>
    <m/>
    <m/>
    <s v="x"/>
    <x v="6"/>
    <m/>
    <m/>
  </r>
  <r>
    <n v="146"/>
    <s v="KN.TB.194"/>
    <s v="Sensor NTC dẹt"/>
    <n v="2216160"/>
    <m/>
    <m/>
    <s v="Testo - Đức"/>
    <d v="2022-12-01T00:00:00"/>
    <s v="Cân"/>
    <s v="-40 - 125 °C"/>
    <m/>
    <m/>
    <m/>
    <n v="12"/>
    <m/>
    <m/>
    <s v="x"/>
    <x v="6"/>
    <m/>
    <m/>
  </r>
  <r>
    <n v="147"/>
    <s v="KN.TB.195"/>
    <s v="Sensor NTC dẹt"/>
    <n v="2216160"/>
    <m/>
    <m/>
    <s v="Testo - Đức"/>
    <d v="2022-12-01T00:00:00"/>
    <s v="Cân"/>
    <s v="-40 - 125 °C"/>
    <m/>
    <m/>
    <m/>
    <n v="12"/>
    <m/>
    <m/>
    <s v="x"/>
    <x v="6"/>
    <m/>
    <m/>
  </r>
  <r>
    <n v="148"/>
    <s v="KN.TB.196"/>
    <s v="Sensor NTC dẹt"/>
    <n v="2216160"/>
    <m/>
    <m/>
    <s v="Testo - Đức"/>
    <d v="2022-12-02T00:00:00"/>
    <s v="Cân"/>
    <s v="-40 - 125 °C"/>
    <m/>
    <m/>
    <m/>
    <n v="12"/>
    <m/>
    <m/>
    <s v="x"/>
    <x v="6"/>
    <m/>
    <m/>
  </r>
  <r>
    <n v="149"/>
    <s v="KN.TB.197"/>
    <s v="Máy đo tốc độ vòng quay DT2236B"/>
    <n v="2595000"/>
    <m/>
    <m/>
    <m/>
    <m/>
    <s v="HPLC"/>
    <s v="Đo quang: 2.5-99999 rpm. Đo tiếp xúc: 0.5-19999 rpm"/>
    <m/>
    <m/>
    <m/>
    <n v="12"/>
    <m/>
    <m/>
    <s v="x"/>
    <x v="6"/>
    <m/>
    <m/>
  </r>
  <r>
    <n v="150"/>
    <s v="KN.TB.198"/>
    <s v="Chụp hút cố định cho AAS và ELSD"/>
    <n v="105500000"/>
    <n v="26392779667"/>
    <m/>
    <m/>
    <m/>
    <s v="Vật lý"/>
    <m/>
    <m/>
    <m/>
    <m/>
    <m/>
    <n v="3"/>
    <m/>
    <m/>
    <x v="4"/>
    <m/>
    <m/>
  </r>
  <r>
    <n v="217"/>
    <s v="KN.TB.199"/>
    <s v="Bộ quả cân F1 (1; 2; 2*; 5; 10; 20; 20*; 50; 100; 200; 200*; 500) mg"/>
    <m/>
    <m/>
    <m/>
    <s v="Trung Quốc"/>
    <m/>
    <s v="Hòa tan"/>
    <s v="(1; 2; 2*; 5; 10; 20; 20*; 50; 100; 200; 200*; 500) mg"/>
    <m/>
    <m/>
    <m/>
    <n v="12"/>
    <m/>
    <m/>
    <s v="x"/>
    <x v="6"/>
    <m/>
    <m/>
  </r>
  <r>
    <n v="218"/>
    <s v="KN.TB.200"/>
    <s v="Bộ quả cân F1 (2; 5; 10; 20; 100; 200) g"/>
    <m/>
    <m/>
    <m/>
    <m/>
    <m/>
    <s v="IPC"/>
    <s v="(2; 5; 10; 20; 100; 200) g"/>
    <m/>
    <m/>
    <m/>
    <n v="12"/>
    <m/>
    <m/>
    <s v="x"/>
    <x v="6"/>
    <m/>
    <m/>
  </r>
  <r>
    <n v="219"/>
    <s v="KN.TB.201"/>
    <s v="Quả cân E2 200g"/>
    <m/>
    <m/>
    <m/>
    <s v="Mettler-Thụy Sĩ"/>
    <m/>
    <s v="Hòa tan"/>
    <m/>
    <m/>
    <m/>
    <m/>
    <n v="12"/>
    <m/>
    <m/>
    <s v="x"/>
    <x v="6"/>
    <m/>
    <m/>
  </r>
  <r>
    <n v="220"/>
    <s v="YA 2270283142"/>
    <s v="Bình khí Argon"/>
    <m/>
    <m/>
    <n v="2018"/>
    <s v="Việt Nam"/>
    <m/>
    <s v="Hòa tan"/>
    <m/>
    <m/>
    <n v="12"/>
    <m/>
    <m/>
    <m/>
    <m/>
    <s v="x"/>
    <x v="6"/>
    <m/>
    <m/>
  </r>
  <r>
    <n v="221"/>
    <s v="G010"/>
    <s v="Bình khí Acetylen"/>
    <m/>
    <m/>
    <n v="2018"/>
    <s v="Việt Nam"/>
    <m/>
    <s v="Hòa tan"/>
    <m/>
    <m/>
    <n v="12"/>
    <m/>
    <m/>
    <m/>
    <m/>
    <s v="x"/>
    <x v="6"/>
    <m/>
    <m/>
  </r>
  <r>
    <n v="222"/>
    <s v="YA 2270283086"/>
    <s v="Bình khí Ni-tơ (máy SKLM)"/>
    <m/>
    <m/>
    <m/>
    <m/>
    <m/>
    <s v="Hóa lý 2"/>
    <m/>
    <m/>
    <n v="12"/>
    <m/>
    <m/>
    <m/>
    <m/>
    <s v="x"/>
    <x v="6"/>
    <m/>
    <m/>
  </r>
  <r>
    <n v="151"/>
    <s v="CL.TB.01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52"/>
    <s v="CL.TB.02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53"/>
    <s v="CL.TB.03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54"/>
    <s v="CL.TB.04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55"/>
    <s v="CL.TB.05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56"/>
    <s v="CL.TB.06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57"/>
    <s v="CL.TB.07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58"/>
    <s v="CL.TB.08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59"/>
    <s v="CL.TB.09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60"/>
    <s v="CL.TB.10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61"/>
    <s v="CL.TB.11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62"/>
    <s v="CL.TB.12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63"/>
    <s v="CL.TB.13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64"/>
    <s v="CL.TB.14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65"/>
    <s v="CL.TB.15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66"/>
    <s v="CL.TB.16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67"/>
    <s v="CL.TB.17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68"/>
    <s v="CL.TB.18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69"/>
    <s v="CL.TB.19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70"/>
    <s v="CL.TB.20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71"/>
    <s v="CL.TB.21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72"/>
    <s v="CL.TB.22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73"/>
    <s v="CL.TB.23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74"/>
    <s v="CL.TB.24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75"/>
    <s v="CL.TB.25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76"/>
    <s v="CL.TB.26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77"/>
    <s v="CL.TB.27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78"/>
    <s v="CL.TB.28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79"/>
    <s v="CL.TB.29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80"/>
    <s v="CL.TB.30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81"/>
    <s v="CL.TB.31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82"/>
    <s v="CL.TB.32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83"/>
    <s v="CL.TB.33"/>
    <s v="Datalogger Testo 174H"/>
    <n v="2927100"/>
    <m/>
    <m/>
    <s v="Testo - Đức"/>
    <d v="2019-12-27T00:00:00"/>
    <m/>
    <s v="-20 - 70 °C; 0 - 100 % RH"/>
    <m/>
    <m/>
    <m/>
    <n v="12"/>
    <m/>
    <m/>
    <m/>
    <x v="6"/>
    <m/>
    <m/>
  </r>
  <r>
    <n v="184"/>
    <s v="CL.TB.34"/>
    <s v="Datalogger Testo Saveris 2-H1"/>
    <n v="10587500"/>
    <s v="54658345/1019"/>
    <m/>
    <s v="Testo - Đức"/>
    <d v="2019-12-27T00:00:00"/>
    <m/>
    <s v="-30 - 50 °C; 0 - 100 % RH"/>
    <m/>
    <m/>
    <m/>
    <n v="12"/>
    <m/>
    <m/>
    <m/>
    <x v="6"/>
    <m/>
    <m/>
  </r>
  <r>
    <n v="185"/>
    <s v="CL.TB.35"/>
    <s v="Datalogger Testo Saveris 2-H1"/>
    <n v="10587500"/>
    <s v="54658349/1019"/>
    <m/>
    <s v="Testo - Đức"/>
    <d v="2019-12-27T00:00:00"/>
    <m/>
    <s v="-30 - 50 °C; 0 - 100 % RH"/>
    <m/>
    <m/>
    <m/>
    <n v="12"/>
    <m/>
    <m/>
    <m/>
    <x v="6"/>
    <m/>
    <m/>
  </r>
  <r>
    <n v="186"/>
    <s v="CL.TB.36"/>
    <s v="Datalogger Testo Saveris 2-H1"/>
    <n v="10587500"/>
    <s v="54658421/1019"/>
    <m/>
    <s v="Testo - Đức"/>
    <d v="2019-12-27T00:00:00"/>
    <m/>
    <s v="-30 - 50 °C; 0 - 100 % RH"/>
    <m/>
    <m/>
    <m/>
    <n v="12"/>
    <m/>
    <m/>
    <m/>
    <x v="6"/>
    <m/>
    <m/>
  </r>
  <r>
    <n v="187"/>
    <s v="CL.TB.37"/>
    <s v="Datalogger Testo Saveris 2-H1"/>
    <n v="10587500"/>
    <s v="54658428/1019"/>
    <m/>
    <s v="Testo - Đức"/>
    <d v="2019-12-27T00:00:00"/>
    <m/>
    <s v="-30 - 50 °C; 0 - 100 % RH"/>
    <m/>
    <m/>
    <m/>
    <n v="12"/>
    <m/>
    <m/>
    <m/>
    <x v="6"/>
    <m/>
    <m/>
  </r>
  <r>
    <n v="188"/>
    <s v="CL.TB.38"/>
    <s v="Datalogger Testo Saveris 2-H1"/>
    <n v="10587500"/>
    <s v="54658482/1019"/>
    <m/>
    <s v="Testo - Đức"/>
    <d v="2019-12-27T00:00:00"/>
    <m/>
    <s v="-30 - 50 °C; 0 - 100 % RH"/>
    <m/>
    <m/>
    <m/>
    <n v="12"/>
    <m/>
    <m/>
    <m/>
    <x v="6"/>
    <m/>
    <m/>
  </r>
  <r>
    <n v="183"/>
    <s v="CL.TB.39"/>
    <s v="Datalogger Testo 174H"/>
    <n v="2974860"/>
    <m/>
    <m/>
    <s v="Testo - Đức"/>
    <d v="2019-12-27T00:00:00"/>
    <m/>
    <s v="-20 - 70 °C; 0 - 100 % RH"/>
    <m/>
    <m/>
    <m/>
    <n v="12"/>
    <m/>
    <m/>
    <m/>
    <x v="6"/>
    <m/>
    <m/>
  </r>
  <r>
    <n v="189"/>
    <s v="KN.01"/>
    <s v="Nhiệt ẩm kế"/>
    <m/>
    <m/>
    <m/>
    <s v="TFA (Đức)"/>
    <m/>
    <m/>
    <s v="-20 - 60 °C, 0 - 100 % RH"/>
    <m/>
    <m/>
    <m/>
    <n v="12"/>
    <m/>
    <m/>
    <m/>
    <x v="9"/>
    <m/>
    <m/>
  </r>
  <r>
    <n v="190"/>
    <s v="KN.02"/>
    <s v="Nhiệt ẩm kế"/>
    <m/>
    <m/>
    <m/>
    <s v="Hàn Quốc"/>
    <m/>
    <m/>
    <s v="-30 - 60 °C, 0 - 100 % RH"/>
    <m/>
    <m/>
    <m/>
    <n v="12"/>
    <m/>
    <m/>
    <m/>
    <x v="9"/>
    <m/>
    <m/>
  </r>
  <r>
    <n v="191"/>
    <s v="KN.03"/>
    <s v="Nhiệt ẩm kế"/>
    <m/>
    <m/>
    <m/>
    <s v="Hàn Quốc"/>
    <m/>
    <m/>
    <s v="-30 - 60 °C, 0 - 100 % RH"/>
    <m/>
    <m/>
    <m/>
    <n v="12"/>
    <m/>
    <m/>
    <m/>
    <x v="9"/>
    <m/>
    <m/>
  </r>
  <r>
    <n v="192"/>
    <s v="KN.04"/>
    <s v="Nhiệt ẩm kế"/>
    <m/>
    <m/>
    <m/>
    <s v="Hàn Quốc"/>
    <m/>
    <m/>
    <s v="-30 - 60 °C, 0 - 100 % RH"/>
    <m/>
    <m/>
    <m/>
    <n v="12"/>
    <m/>
    <m/>
    <m/>
    <x v="9"/>
    <m/>
    <m/>
  </r>
  <r>
    <n v="193"/>
    <s v="KN.05"/>
    <s v="Nhiệt ẩm kế"/>
    <m/>
    <m/>
    <m/>
    <s v="Trung Quốc"/>
    <m/>
    <m/>
    <m/>
    <m/>
    <m/>
    <m/>
    <n v="12"/>
    <m/>
    <m/>
    <m/>
    <x v="9"/>
    <m/>
    <m/>
  </r>
  <r>
    <n v="194"/>
    <s v="KN.06"/>
    <s v="Nhiệt ẩm kế"/>
    <m/>
    <m/>
    <m/>
    <s v="Trung Quốc"/>
    <m/>
    <m/>
    <m/>
    <m/>
    <m/>
    <m/>
    <n v="12"/>
    <m/>
    <m/>
    <m/>
    <x v="9"/>
    <m/>
    <m/>
  </r>
  <r>
    <n v="195"/>
    <s v="KN.07"/>
    <s v="Nhiệt ẩm kế"/>
    <m/>
    <m/>
    <m/>
    <m/>
    <m/>
    <m/>
    <s v="-30 - 60 °C, 0 - 100 % RH"/>
    <m/>
    <m/>
    <m/>
    <n v="12"/>
    <m/>
    <m/>
    <m/>
    <x v="9"/>
    <m/>
    <m/>
  </r>
  <r>
    <n v="196"/>
    <s v="KN.08"/>
    <s v="Nhiệt ẩm kế"/>
    <m/>
    <m/>
    <m/>
    <s v="Đức"/>
    <m/>
    <m/>
    <m/>
    <m/>
    <m/>
    <m/>
    <n v="12"/>
    <m/>
    <m/>
    <m/>
    <x v="9"/>
    <m/>
    <m/>
  </r>
  <r>
    <n v="197"/>
    <s v="KN.09"/>
    <s v="Nhiệt ẩm kế"/>
    <m/>
    <m/>
    <m/>
    <m/>
    <m/>
    <m/>
    <s v="-25 - 60 °C, 20 - 100 % RH"/>
    <m/>
    <m/>
    <m/>
    <n v="12"/>
    <m/>
    <m/>
    <m/>
    <x v="9"/>
    <m/>
    <m/>
  </r>
  <r>
    <n v="198"/>
    <s v="KN.10"/>
    <s v="Nhiệt ẩm kế"/>
    <m/>
    <m/>
    <m/>
    <m/>
    <m/>
    <m/>
    <s v="-25 - 60 °C, 20 - 100 % RH"/>
    <m/>
    <m/>
    <m/>
    <n v="12"/>
    <m/>
    <m/>
    <m/>
    <x v="9"/>
    <m/>
    <m/>
  </r>
  <r>
    <n v="199"/>
    <s v="KN.11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00"/>
    <s v="KN.12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01"/>
    <s v="KN.13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02"/>
    <s v="KN.14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03"/>
    <s v="KN.15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04"/>
    <s v="KN.16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05"/>
    <s v="KN.17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06"/>
    <s v="KN.18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07"/>
    <s v="KN.19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08"/>
    <s v="KN.20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09"/>
    <s v="KN.21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10"/>
    <s v="KN.22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11"/>
    <s v="KN.23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12"/>
    <s v="KN.24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13"/>
    <s v="KN.25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14"/>
    <s v="KN.26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15"/>
    <s v="KN.27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16"/>
    <s v="KN.28"/>
    <s v="Nhiệt ẩm kế"/>
    <m/>
    <s v="810-155"/>
    <m/>
    <s v="Anh"/>
    <m/>
    <m/>
    <s v="(Int) 0 - 49,9 °C, (Ext) -49,9 - 69,9 °C, 20 - 99 % RH"/>
    <m/>
    <m/>
    <m/>
    <n v="12"/>
    <m/>
    <m/>
    <m/>
    <x v="9"/>
    <m/>
    <m/>
  </r>
  <r>
    <n v="223"/>
    <s v="IPC.TB.01"/>
    <s v="Cân kỹ thuật ML 203"/>
    <m/>
    <s v="ML203"/>
    <m/>
    <m/>
    <d v="2011-05-10T00:00:00"/>
    <s v="IPC"/>
    <m/>
    <n v="12"/>
    <m/>
    <m/>
    <n v="12"/>
    <n v="3"/>
    <m/>
    <s v="x"/>
    <x v="14"/>
    <m/>
    <m/>
  </r>
  <r>
    <n v="224"/>
    <s v="IPC.TB.03"/>
    <s v="Cân đo hàm ẩm MA45"/>
    <n v="31198019"/>
    <s v="MA45"/>
    <m/>
    <m/>
    <d v="2004-10-01T00:00:00"/>
    <s v="IPC"/>
    <m/>
    <n v="12"/>
    <m/>
    <m/>
    <n v="12"/>
    <n v="3"/>
    <m/>
    <s v="x"/>
    <x v="14"/>
    <m/>
    <m/>
  </r>
  <r>
    <n v="225"/>
    <s v="IPC.TB.04"/>
    <s v="Máy đo pH Mettler Toledo"/>
    <n v="37136364"/>
    <s v="S220-Kit"/>
    <m/>
    <m/>
    <d v="2016-04-05T00:00:00"/>
    <s v="IPC"/>
    <m/>
    <m/>
    <m/>
    <m/>
    <n v="12"/>
    <n v="6"/>
    <m/>
    <m/>
    <x v="14"/>
    <m/>
    <m/>
  </r>
  <r>
    <n v="226"/>
    <s v="IPC.TB.05"/>
    <s v="Máy thử độ kín Askir"/>
    <n v="24727273"/>
    <s v="Askir 30"/>
    <m/>
    <m/>
    <d v="2015-08-20T00:00:00"/>
    <s v="IPC"/>
    <m/>
    <m/>
    <m/>
    <m/>
    <m/>
    <n v="12"/>
    <m/>
    <m/>
    <x v="14"/>
    <m/>
    <m/>
  </r>
  <r>
    <n v="227"/>
    <s v="IPC.TB.06"/>
    <s v="Máy đo độ rã Erweka ZT 222"/>
    <n v="177818182"/>
    <s v="ZT222"/>
    <m/>
    <m/>
    <d v="2015-08-20T00:00:00"/>
    <s v="IPC"/>
    <m/>
    <m/>
    <m/>
    <m/>
    <n v="12"/>
    <m/>
    <m/>
    <m/>
    <x v="14"/>
    <m/>
    <m/>
  </r>
  <r>
    <n v="228"/>
    <s v="IPC.TB.07"/>
    <s v="Đồng hồ DIGITIMER"/>
    <m/>
    <m/>
    <m/>
    <m/>
    <m/>
    <s v="IPC"/>
    <m/>
    <m/>
    <m/>
    <m/>
    <n v="12"/>
    <m/>
    <m/>
    <m/>
    <x v="14"/>
    <m/>
    <m/>
  </r>
  <r>
    <n v="229"/>
    <s v="IPC.TB.08"/>
    <s v="Cân kỹ thuật Shimadzu UW 420"/>
    <n v="20000000"/>
    <s v="UW420H"/>
    <m/>
    <m/>
    <d v="2016-04-05T00:00:00"/>
    <s v="IPC"/>
    <m/>
    <n v="12"/>
    <m/>
    <m/>
    <n v="12"/>
    <n v="3"/>
    <m/>
    <s v="x"/>
    <x v="1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5388F-0CC9-4BD3-BFF1-28C302B6AE7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6">
        <item x="4"/>
        <item x="7"/>
        <item x="2"/>
        <item x="0"/>
        <item x="12"/>
        <item x="5"/>
        <item x="9"/>
        <item x="11"/>
        <item x="8"/>
        <item x="1"/>
        <item x="10"/>
        <item x="14"/>
        <item x="13"/>
        <item x="6"/>
        <item x="3"/>
        <item t="default"/>
      </items>
    </pivotField>
    <pivotField showAll="0"/>
    <pivotField showAll="0"/>
  </pivotFields>
  <rowFields count="1">
    <field x="17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Count of Người phụ trách" fld="1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C3F9F26-A153-439A-9161-C545B58A0686}" name="Table5" displayName="Table5" ref="A1:B10" totalsRowShown="0" headerRowDxfId="69" dataDxfId="68">
  <autoFilter ref="A1:B10" xr:uid="{9C3F9F26-A153-439A-9161-C545B58A0686}"/>
  <tableColumns count="2">
    <tableColumn id="1" xr3:uid="{5B9FD4BE-56F8-470C-A188-BA2D9B9B15C9}" name="Viết tắt" dataDxfId="67"/>
    <tableColumn id="2" xr3:uid="{BC5CF6FB-4590-4448-96FE-B9FD2042F048}" name="Đầy đủ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8DBC40-427E-4DB0-97F4-9D02BB5149DD}" name="EquipmentInfo" displayName="EquipmentInfo" ref="A1:T235" totalsRowShown="0" headerRowDxfId="65" dataDxfId="64">
  <autoFilter ref="A1:T235" xr:uid="{778DBC40-427E-4DB0-97F4-9D02BB5149DD}"/>
  <sortState ref="A2:T235">
    <sortCondition ref="A1:A235"/>
  </sortState>
  <tableColumns count="20">
    <tableColumn id="1" xr3:uid="{848F6A23-C119-457E-8E6D-8517B5771D60}" name="TT" dataDxfId="63"/>
    <tableColumn id="19" xr3:uid="{6502518D-1555-4141-A310-0E03DE15F889}" name="Mã thiết bị" dataDxfId="62"/>
    <tableColumn id="2" xr3:uid="{4C326C87-7B59-48A3-AB82-D11486CEBC47}" name="Tên thiết bị" dataDxfId="61"/>
    <tableColumn id="3" xr3:uid="{6B545432-F118-4949-BDE6-925B8B529EB6}" name="Nguyên giá" dataDxfId="60"/>
    <tableColumn id="4" xr3:uid="{C3DB62F7-8D9E-4607-9E1F-78997DAFCB6C}" name="Model/Serial" dataDxfId="59"/>
    <tableColumn id="5" xr3:uid="{68BC7284-131F-4FF8-A538-1491D6C3AFEF}" name="Năm SX" dataDxfId="58"/>
    <tableColumn id="6" xr3:uid="{5F5E1252-BE6F-492F-A3C6-E09D4A1EBDC0}" name="Xuất xứ" dataDxfId="57"/>
    <tableColumn id="7" xr3:uid="{0C8CDBF3-D42A-45BA-9DB2-25A07722CE14}" name="Ngày nghiệm thu/Bàn giao" dataDxfId="56"/>
    <tableColumn id="8" xr3:uid="{31472F46-2F6E-4C8E-836D-D1D5A03CBCBD}" name="Phòng lắp đặt" dataDxfId="55"/>
    <tableColumn id="9" xr3:uid="{4A4C8890-8324-4222-9C37-C283134065CC}" name="Thông số chính" dataDxfId="54"/>
    <tableColumn id="10" xr3:uid="{B4D897C8-12CD-40E6-BC2F-71CD231C8BA9}" name="KĐ cân" dataDxfId="53"/>
    <tableColumn id="11" xr3:uid="{F415E01D-1CAE-4AEE-ACBA-36E859FDC09C}" name="KĐ áp kế" dataDxfId="52"/>
    <tableColumn id="12" xr3:uid="{10811EBE-5568-4AE9-9ADD-FC34F745A0F2}" name="KĐ AT" dataDxfId="51"/>
    <tableColumn id="13" xr3:uid="{CACB6C73-8764-4218-A61E-332E82F9C953}" name="HC" dataDxfId="50"/>
    <tableColumn id="14" xr3:uid="{40C1D7A2-777A-4A56-A38A-3709CC8A1BDE}" name="BT" dataDxfId="49"/>
    <tableColumn id="15" xr3:uid="{520E5CFD-5449-41F1-A673-90FFE2E604B0}" name="PQ" dataDxfId="48"/>
    <tableColumn id="16" xr3:uid="{F084CBB7-29E1-4ABD-A2DD-A784B00A38C2}" name="Thuê CQ" dataDxfId="47"/>
    <tableColumn id="17" xr3:uid="{83B7794F-AA57-4A21-9FEC-EF48DB586D19}" name="Người phụ trách" dataDxfId="46"/>
    <tableColumn id="18" xr3:uid="{8A61D70E-E29D-48B5-BCC0-9C0D9CB2E6B4}" name="STT tập hồ sơ lưu" dataDxfId="45"/>
    <tableColumn id="21" xr3:uid="{6CEFEE8A-9685-4614-8577-E177EB702B62}" name="Ghi chú" dataDxfId="4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0E65F0-D93E-48DD-B7D1-FC0BF93C4464}" name="PlanData" displayName="PlanData" ref="A1:E369" totalsRowShown="0" headerRowDxfId="43" dataDxfId="42">
  <autoFilter ref="A1:E369" xr:uid="{0A0E65F0-D93E-48DD-B7D1-FC0BF93C4464}"/>
  <sortState ref="A2:E369">
    <sortCondition ref="A1:A369"/>
  </sortState>
  <tableColumns count="5">
    <tableColumn id="6" xr3:uid="{24CD8D8D-E9F7-46FF-BAFB-F6130C3386BB}" name="TT TB" dataDxfId="41">
      <calculatedColumnFormula>MATCH(PlanData[[#This Row],[Mã thiết bị]],EquipmentInfo[Mã thiết bị],0)</calculatedColumnFormula>
    </tableColumn>
    <tableColumn id="1" xr3:uid="{34297FDF-F659-440C-B929-A83D9F626DA5}" name="Mã thiết bị" dataDxfId="40"/>
    <tableColumn id="2" xr3:uid="{61FD1124-51D6-4F86-B2FF-79DC7944A22E}" name="Tháng" dataDxfId="39"/>
    <tableColumn id="3" xr3:uid="{222F4EB3-31AE-469A-9A75-1210B6796920}" name="Công việc" dataDxfId="38"/>
    <tableColumn id="4" xr3:uid="{E2B2E8BF-1E26-4BF1-A01E-38D7B6DBDF0A}" name="Ghi chú" dataDxfId="3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65CA24-AF5A-4DEB-8E31-993727D6E754}" name="Table4" displayName="Table4" ref="A1:G142" totalsRowShown="0" headerRowDxfId="35" dataDxfId="34">
  <autoFilter ref="A1:G142" xr:uid="{69D592EA-2C8C-4364-9A43-7A632EDA10B8}"/>
  <sortState ref="A2:G141">
    <sortCondition ref="C2:C141"/>
    <sortCondition ref="D2:D141"/>
    <sortCondition ref="A2:A141"/>
  </sortState>
  <tableColumns count="7">
    <tableColumn id="2" xr3:uid="{2682DA54-4CAA-495D-B3CD-73BC91547D10}" name="Mã TB" dataDxfId="33"/>
    <tableColumn id="3" xr3:uid="{9557F882-6BE0-41B8-AFE3-088D32A6E761}" name="Ngày" dataDxfId="32"/>
    <tableColumn id="5" xr3:uid="{819C46A1-A126-4416-AFB2-DE0B3DA1EDAB}" name="&lt;Tháng&gt;" dataDxfId="31">
      <calculatedColumnFormula>MONTH(Table4[[#This Row],[Ngày]])</calculatedColumnFormula>
    </tableColumn>
    <tableColumn id="4" xr3:uid="{C3745A98-3766-42F4-BFA0-F8C437708223}" name="Sự kiện" dataDxfId="30"/>
    <tableColumn id="7" xr3:uid="{8E877FF4-605C-4806-81DF-77AD467A834A}" name="Người thực hiện" dataDxfId="29"/>
    <tableColumn id="1" xr3:uid="{39E8D161-D76A-467A-99C0-ADE0FF15BEE7}" name="Mô tả" dataDxfId="28"/>
    <tableColumn id="6" xr3:uid="{16DE5047-2CC7-45C6-8451-73A15665A6E4}" name="Tài liệu đính kèm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404D73-675C-45C7-9170-0639D259CDC9}" name="PlanTable" displayName="PlanTable" ref="A5:Y230" totalsRowShown="0" headerRowDxfId="26" dataDxfId="25">
  <autoFilter ref="A5:Y230" xr:uid="{44404D73-675C-45C7-9170-0639D259CDC9}"/>
  <sortState ref="A6:Y6">
    <sortCondition ref="B5:B6"/>
  </sortState>
  <tableColumns count="25">
    <tableColumn id="29" xr3:uid="{DBC337E3-C709-4EFC-8B7A-B5BCD368C861}" name="TT" dataDxfId="24"/>
    <tableColumn id="14" xr3:uid="{E78633F0-EC36-4817-9512-0EE62E0A4759}" name="I" dataDxfId="23">
      <calculatedColumnFormula>MATCH(PlanTable[[#This Row],[Mã thiết bị]],EquipmentInfo[Mã thiết bị],0)</calculatedColumnFormula>
    </tableColumn>
    <tableColumn id="18" xr3:uid="{DC7DE829-CE7D-4373-8483-9598E273DDEF}" name="Tên thiết bị" dataDxfId="22">
      <calculatedColumnFormula>INDEX(EquipmentInfo[Tên thiết bị],MATCH(PlanTable[[#This Row],[Mã thiết bị]],EquipmentInfo[Mã thiết bị],0))</calculatedColumnFormula>
    </tableColumn>
    <tableColumn id="1" xr3:uid="{35F740EC-3C41-4CFE-B4F8-12AEDE7DD7C8}" name="Mã thiết bị" dataDxfId="21"/>
    <tableColumn id="15" xr3:uid="{A4C4FFD7-A2D8-417C-AA17-A24AE7F848C9}" name="KĐ cân" dataDxfId="20">
      <calculatedColumnFormula>IF(INDEX(EquipmentInfo[KĐ cân],PlanTable[[#This Row],[I]])=0,"",INDEX(EquipmentInfo[KĐ cân],PlanTable[[#This Row],[I]]))</calculatedColumnFormula>
    </tableColumn>
    <tableColumn id="16" xr3:uid="{68C7FE01-163F-40D9-9AE9-28F2F28F98B4}" name="KĐ áp kế" dataDxfId="19">
      <calculatedColumnFormula>IF(INDEX(EquipmentInfo[KĐ áp kế],PlanTable[[#This Row],[I]])=0,"",INDEX(EquipmentInfo[KĐ áp kế],PlanTable[[#This Row],[I]]))</calculatedColumnFormula>
    </tableColumn>
    <tableColumn id="17" xr3:uid="{DC30AB8D-63DB-4CA7-8094-F16A47C566D7}" name="KĐ AT" dataDxfId="18">
      <calculatedColumnFormula>IF(INDEX(EquipmentInfo[KĐ AT],PlanTable[[#This Row],[I]])=0,"",INDEX(EquipmentInfo[KĐ AT],PlanTable[[#This Row],[I]]))</calculatedColumnFormula>
    </tableColumn>
    <tableColumn id="19" xr3:uid="{29DC2DED-58D0-4A29-948F-C32A0A3EDD85}" name="HC" dataDxfId="17">
      <calculatedColumnFormula>IF(INDEX(EquipmentInfo[HC],PlanTable[[#This Row],[I]])=0,"",INDEX(EquipmentInfo[HC],PlanTable[[#This Row],[I]]))</calculatedColumnFormula>
    </tableColumn>
    <tableColumn id="20" xr3:uid="{BC266D14-E744-4E0D-B2AC-9C63C78EF734}" name="BT" dataDxfId="16">
      <calculatedColumnFormula>IF(INDEX(EquipmentInfo[BT],PlanTable[[#This Row],[I]])=0,"",INDEX(EquipmentInfo[BT],PlanTable[[#This Row],[I]]))</calculatedColumnFormula>
    </tableColumn>
    <tableColumn id="24" xr3:uid="{9CA32DBA-0763-44C7-AB14-A02DF62AE108}" name="PQ" dataDxfId="15">
      <calculatedColumnFormula>IF(INDEX(EquipmentInfo[PQ],PlanTable[[#This Row],[I]])=0,"",INDEX(EquipmentInfo[PQ],PlanTable[[#This Row],[I]]))</calculatedColumnFormula>
    </tableColumn>
    <tableColumn id="2" xr3:uid="{ED774B97-1FE2-4DD6-BAD0-113085C4A9F4}" name="1" dataDxfId="14"/>
    <tableColumn id="3" xr3:uid="{DAE96C1D-BEBD-46A2-9FD9-AC2EE15364B9}" name="2" dataDxfId="13"/>
    <tableColumn id="4" xr3:uid="{F4958120-9AF4-476C-9951-F0D8FB9A4BD3}" name="3" dataDxfId="12"/>
    <tableColumn id="5" xr3:uid="{26A6B948-EE6D-4F75-A117-DBCC4B9BC444}" name="4" dataDxfId="11"/>
    <tableColumn id="6" xr3:uid="{1F9B659D-7473-4818-AA4D-3856D987A40D}" name="5" dataDxfId="10"/>
    <tableColumn id="7" xr3:uid="{6C0869A3-885C-40DC-B8D0-E1FDD812A414}" name="6" dataDxfId="9"/>
    <tableColumn id="8" xr3:uid="{1F5D65B3-E496-4B7E-AAB5-B4B62AA3BEDD}" name="7" dataDxfId="8"/>
    <tableColumn id="9" xr3:uid="{90E2A8BB-F0B0-4973-AFAC-D4CCA6130D39}" name="8" dataDxfId="7"/>
    <tableColumn id="10" xr3:uid="{B2563958-7EF4-4621-94C3-8F08172B3B49}" name="9" dataDxfId="6"/>
    <tableColumn id="11" xr3:uid="{BC32782F-A44D-41DA-BD17-3F1D19221FB5}" name="10" dataDxfId="5"/>
    <tableColumn id="12" xr3:uid="{382FC0ED-8624-47D8-9AD7-F7DACB4B8E0E}" name="11" dataDxfId="4"/>
    <tableColumn id="13" xr3:uid="{849784E7-F133-4605-8AC9-17FFEE60FF46}" name="12" dataDxfId="3"/>
    <tableColumn id="21" xr3:uid="{DEA8F825-62ED-4DE2-8684-01948DDA41E5}" name="Thuê CQ" dataDxfId="2">
      <calculatedColumnFormula>IF(INDEX(EquipmentInfo[Thuê CQ],PlanTable[[#This Row],[I]])=0,"",INDEX(EquipmentInfo[Thuê CQ],PlanTable[[#This Row],[I]]))</calculatedColumnFormula>
    </tableColumn>
    <tableColumn id="22" xr3:uid="{DF6CFAD4-87D1-4975-BF76-B25E16D391C2}" name="Người phụ trách" dataDxfId="1">
      <calculatedColumnFormula>INDEX(EquipmentInfo[Người phụ trách],PlanTable[[#This Row],[I]])</calculatedColumnFormula>
    </tableColumn>
    <tableColumn id="23" xr3:uid="{3A2E996F-94EC-416C-AA77-3ADE6484891D}" name="Ghi chú" dataDxfId="0"/>
  </tableColumns>
  <tableStyleInfo name="TableStyleMedium1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file:///\\192.168.1.12\qlcl1900\Q10.%20QC-2023\Q10.%20GLP-Thanh%20Ha\3.%20THI&#7870;T%20B&#7882;\3.%20K&#272;%20-%20HC%20-%20BT\N&#259;m%202023\01\KN.TB.05_2023.01.18_BT.pdf" TargetMode="External"/><Relationship Id="rId21" Type="http://schemas.openxmlformats.org/officeDocument/2006/relationships/hyperlink" Target="file:///\\192.168.1.12\qlcl1900\Q10.%20QC-2023\Q10.%20GLP-Thanh%20Ha\3.%20THI&#7870;T%20B&#7882;\3.%20K&#272;%20-%20HC%20-%20BT\N&#259;m%202023\02\2023.02.15_Agilent%201260%20Pump%20Drive%20failed.pdf" TargetMode="External"/><Relationship Id="rId42" Type="http://schemas.openxmlformats.org/officeDocument/2006/relationships/hyperlink" Target="file:///\\192.168.1.12\qlcl1900\Q10.%20QC-2023\Q10.%20GLP-Thanh%20Ha\3.%20THI&#7870;T%20B&#7882;\3.%20K&#272;%20-%20HC%20-%20BT\N&#259;m%202023\01\KN.TB.157_2023.01.13_BT.pdf" TargetMode="External"/><Relationship Id="rId47" Type="http://schemas.openxmlformats.org/officeDocument/2006/relationships/hyperlink" Target="file:///\\192.168.1.12\qlcl1900\Q10.%20QC-2023\Q10.%20GLP-Thanh%20Ha\3.%20THI&#7870;T%20B&#7882;\3.%20K&#272;%20-%20HC%20-%20BT\N&#259;m%202023\01\KN.TB.170_2023.01.13_BT.pdf" TargetMode="External"/><Relationship Id="rId63" Type="http://schemas.openxmlformats.org/officeDocument/2006/relationships/hyperlink" Target="file:///\\192.168.1.12\qlcl1900\Q10.%20QC-2023\Q10.%20GLP-Thanh%20Ha\3.%20THI&#7870;T%20B&#7882;\3.%20K&#272;%20-%20HC%20-%20BT\N&#259;m%202023\02\KN.TB.154_2023.02.11_BT.pdf" TargetMode="External"/><Relationship Id="rId68" Type="http://schemas.openxmlformats.org/officeDocument/2006/relationships/hyperlink" Target="file:///\\192.168.1.12\qlcl1900\Q10.%20QC-2023\Q10.%20GLP-Thanh%20Ha\3.%20THI&#7870;T%20B&#7882;\3.%20K&#272;%20-%20HC%20-%20BT\N&#259;m%202023\03\KN.TB.02_2023.03.11_K&#272;.pdf" TargetMode="External"/><Relationship Id="rId84" Type="http://schemas.openxmlformats.org/officeDocument/2006/relationships/hyperlink" Target="file:///\\192.168.1.12\qlcl1900\Q10.%20QC-2023\Q10.%20GLP-Thanh%20Ha\3.%20THI&#7870;T%20B&#7882;\3.%20K&#272;%20-%20HC%20-%20BT\N&#259;m%202023\04\KN.TB.161_2023.04.11_Install%20new%20mainboard.pdf" TargetMode="External"/><Relationship Id="rId16" Type="http://schemas.openxmlformats.org/officeDocument/2006/relationships/hyperlink" Target="file:///\\192.168.1.12\qlcl1900\Q10.%20QC-2023\Q10.%20GLP-Thanh%20Ha\3.%20THI&#7870;T%20B&#7882;\3.%20K&#272;%20-%20HC%20-%20BT\N&#259;m%202023\02\2023.02.09_Buy%20USB-R25,%20Inlab%20Solids%20Pro.zip" TargetMode="External"/><Relationship Id="rId11" Type="http://schemas.openxmlformats.org/officeDocument/2006/relationships/hyperlink" Target="file:///\\192.168.1.12\qlcl1900\Q10.%20QC-2023\Q10.%20GLP-Thanh%20Ha\3.%20THI&#7870;T%20B&#7882;\3.%20K&#272;%20-%20HC%20-%20BT\N&#259;m%202023\01\KN.TB.189-194_2023.01.10_HC.pdf" TargetMode="External"/><Relationship Id="rId32" Type="http://schemas.openxmlformats.org/officeDocument/2006/relationships/hyperlink" Target="file:///\\192.168.1.12\qlcl1900\Q10.%20QC-2023\Q10.%20GLP-Thanh%20Ha\3.%20THI&#7870;T%20B&#7882;\3.%20K&#272;%20-%20HC%20-%20BT\N&#259;m%202023\01\KN.TB.61_2023.01.13_BT.pdf" TargetMode="External"/><Relationship Id="rId37" Type="http://schemas.openxmlformats.org/officeDocument/2006/relationships/hyperlink" Target="file:///\\192.168.1.12\qlcl1900\Q10.%20QC-2023\Q10.%20GLP-Thanh%20Ha\3.%20THI&#7870;T%20B&#7882;\3.%20K&#272;%20-%20HC%20-%20BT\N&#259;m%202023\01\KN.TB.111_2023.01.13_BT.pdf" TargetMode="External"/><Relationship Id="rId53" Type="http://schemas.openxmlformats.org/officeDocument/2006/relationships/hyperlink" Target="file:///\\192.168.1.12\qlcl1900\Q10.%20QC-2023\Q10.%20GLP-Thanh%20Ha\3.%20THI&#7870;T%20B&#7882;\3.%20K&#272;%20-%20HC%20-%20BT\N&#259;m%202023\02\KN.TB.36_2023.02.14_BT.pdf" TargetMode="External"/><Relationship Id="rId58" Type="http://schemas.openxmlformats.org/officeDocument/2006/relationships/hyperlink" Target="file:///\\192.168.1.12\qlcl1900\Q10.%20QC-2023\Q10.%20GLP-Thanh%20Ha\3.%20THI&#7870;T%20B&#7882;\3.%20K&#272;%20-%20HC%20-%20BT\N&#259;m%202023\02\KN.TB.78_2023.02.07_BT.pdf" TargetMode="External"/><Relationship Id="rId74" Type="http://schemas.openxmlformats.org/officeDocument/2006/relationships/hyperlink" Target="file:///\\192.168.1.12\qlcl1900\Q10.%20QC-2023\Q10.%20GLP-Thanh%20Ha\3.%20THI&#7870;T%20B&#7882;\3.%20K&#272;%20-%20HC%20-%20BT\N&#259;m%202023\03\KN.TB.99_2023.03.11_K&#272;.pdf" TargetMode="External"/><Relationship Id="rId79" Type="http://schemas.openxmlformats.org/officeDocument/2006/relationships/hyperlink" Target="file:///\\192.168.1.12\qlcl1900\Q10.%20QC-2023\Q10.%20GLP-Thanh%20Ha\3.%20THI&#7870;T%20B&#7882;\3.%20K&#272;%20-%20HC%20-%20BT\N&#259;m%202023\03\171844006_2023.03.24_Buy%20Nitrogen%20tank.zip" TargetMode="External"/><Relationship Id="rId5" Type="http://schemas.openxmlformats.org/officeDocument/2006/relationships/hyperlink" Target="file:///\\192.168.1.12\qlcl1900\Q10.%20QC-2023\Q10.%20GLP-Thanh%20Ha\3.%20THI&#7870;T%20B&#7882;\3.%20K&#272;%20-%20HC%20-%20BT\N&#259;m%202023\01\KN.TB.187-192_2023.01.10_HC.pdf" TargetMode="External"/><Relationship Id="rId19" Type="http://schemas.openxmlformats.org/officeDocument/2006/relationships/hyperlink" Target="file:///\\192.168.1.12\qlcl1900\Q10.%20QC-2023\Q10.%20GLP-Thanh%20Ha\3.%20THI&#7870;T%20B&#7882;\3.%20K&#272;%20-%20HC%20-%20BT\N&#259;m%202023\02\2023.02.13_Frimed%20AF140%20increased%20background%20temperature.pdf" TargetMode="External"/><Relationship Id="rId14" Type="http://schemas.openxmlformats.org/officeDocument/2006/relationships/hyperlink" Target="file:///\\192.168.1.12\qlcl1900\Q10.%20QC-2023\Q10.%20GLP-Thanh%20Ha\3.%20THI&#7870;T%20B&#7882;\3.%20K&#272;%20-%20HC%20-%20BT\N&#259;m%202023\01\KN.TB.190-195_2023.01.10_HC.pdf" TargetMode="External"/><Relationship Id="rId22" Type="http://schemas.openxmlformats.org/officeDocument/2006/relationships/hyperlink" Target="file:///\\192.168.1.12\qlcl1900\Q10.%20QC-2023\Q10.%20GLP-Thanh%20Ha\3.%20THI&#7870;T%20B&#7882;\3.%20K&#272;%20-%20HC%20-%20BT\N&#259;m%202023\01\KN.TB.184_2023.01.10_HC.pdf" TargetMode="External"/><Relationship Id="rId27" Type="http://schemas.openxmlformats.org/officeDocument/2006/relationships/hyperlink" Target="file:///\\192.168.1.12\qlcl1900\Q10.%20QC-2023\Q10.%20GLP-Thanh%20Ha\3.%20THI&#7870;T%20B&#7882;\3.%20K&#272;%20-%20HC%20-%20BT\N&#259;m%202023\01\KN.TB.14_2023.01.13_BT.pdf" TargetMode="External"/><Relationship Id="rId30" Type="http://schemas.openxmlformats.org/officeDocument/2006/relationships/hyperlink" Target="file:///\\192.168.1.12\qlcl1900\Q10.%20QC-2023\Q10.%20GLP-Thanh%20Ha\3.%20THI&#7870;T%20B&#7882;\3.%20K&#272;%20-%20HC%20-%20BT\N&#259;m%202023\01\KN.TB.50_2023.01.13_BT.pdf" TargetMode="External"/><Relationship Id="rId35" Type="http://schemas.openxmlformats.org/officeDocument/2006/relationships/hyperlink" Target="file:///\\192.168.1.12\qlcl1900\Q10.%20QC-2023\Q10.%20GLP-Thanh%20Ha\3.%20THI&#7870;T%20B&#7882;\3.%20K&#272;%20-%20HC%20-%20BT\N&#259;m%202023\01\KN.TB.99_2023.01.16_BT.pdf" TargetMode="External"/><Relationship Id="rId43" Type="http://schemas.openxmlformats.org/officeDocument/2006/relationships/hyperlink" Target="file:///\\192.168.1.12\qlcl1900\Q10.%20QC-2023\Q10.%20GLP-Thanh%20Ha\3.%20THI&#7870;T%20B&#7882;\3.%20K&#272;%20-%20HC%20-%20BT\N&#259;m%202023\01\KN.TB.164_2023.01.19_BT.zip" TargetMode="External"/><Relationship Id="rId48" Type="http://schemas.openxmlformats.org/officeDocument/2006/relationships/hyperlink" Target="file:///\\192.168.1.12\qlcl1900\Q10.%20QC-2023\Q10.%20GLP-Thanh%20Ha\3.%20THI&#7870;T%20B&#7882;\3.%20K&#272;%20-%20HC%20-%20BT\N&#259;m%202023\01\KN.TB.171_2023.01.13_BT.pdf" TargetMode="External"/><Relationship Id="rId56" Type="http://schemas.openxmlformats.org/officeDocument/2006/relationships/hyperlink" Target="file:///\\192.168.1.12\qlcl1900\Q10.%20QC-2023\Q10.%20GLP-Thanh%20Ha\3.%20THI&#7870;T%20B&#7882;\3.%20K&#272;%20-%20HC%20-%20BT\N&#259;m%202023\02\KN.TB.63A_2023.02.14_BT.pdf" TargetMode="External"/><Relationship Id="rId64" Type="http://schemas.openxmlformats.org/officeDocument/2006/relationships/hyperlink" Target="file:///\\192.168.1.12\qlcl1900\Q10.%20QC-2023\Q10.%20GLP-Thanh%20Ha\3.%20THI&#7870;T%20B&#7882;\3.%20K&#272;%20-%20HC%20-%20BT\N&#259;m%202023\02\KN.TB.151_2023.02.01_HC.pdf" TargetMode="External"/><Relationship Id="rId69" Type="http://schemas.openxmlformats.org/officeDocument/2006/relationships/hyperlink" Target="file:///\\192.168.1.12\qlcl1900\Q10.%20QC-2023\Q10.%20GLP-Thanh%20Ha\3.%20THI&#7870;T%20B&#7882;\3.%20K&#272;%20-%20HC%20-%20BT\N&#259;m%202023\03\KN.TB.05_2023.03.11_K&#272;.pdf" TargetMode="External"/><Relationship Id="rId77" Type="http://schemas.openxmlformats.org/officeDocument/2006/relationships/hyperlink" Target="file:///\\192.168.1.12\qlcl1900\Q10.%20QC-2023\Q10.%20GLP-Thanh%20Ha\3.%20THI&#7870;T%20B&#7882;\3.%20K&#272;%20-%20HC%20-%20BT\N&#259;m%202023\02\KN.TB.173_2023.02.11_BT.pdf" TargetMode="External"/><Relationship Id="rId8" Type="http://schemas.openxmlformats.org/officeDocument/2006/relationships/hyperlink" Target="file:///\\192.168.1.12\qlcl1900\Q10.%20QC-2023\Q10.%20GLP-Thanh%20Ha\3.%20THI&#7870;T%20B&#7882;\3.%20K&#272;%20-%20HC%20-%20BT\N&#259;m%202023\01\KN.TB.188-193_2023.01.10_HC.pdf" TargetMode="External"/><Relationship Id="rId51" Type="http://schemas.openxmlformats.org/officeDocument/2006/relationships/hyperlink" Target="file:///\\192.168.1.12\qlcl1900\Q10.%20QC-2023\Q10.%20GLP-Thanh%20Ha\3.%20THI&#7870;T%20B&#7882;\3.%20K&#272;%20-%20HC%20-%20BT\N&#259;m%202023\02\KN.TB.17_2023.02.14_BT.pdf" TargetMode="External"/><Relationship Id="rId72" Type="http://schemas.openxmlformats.org/officeDocument/2006/relationships/hyperlink" Target="file:///\\192.168.1.12\qlcl1900\Q10.%20QC-2023\Q10.%20GLP-Thanh%20Ha\3.%20THI&#7870;T%20B&#7882;\3.%20K&#272;%20-%20HC%20-%20BT\N&#259;m%202023\03\KN.TB.48_2023.03.11_K&#272;.pdf" TargetMode="External"/><Relationship Id="rId80" Type="http://schemas.openxmlformats.org/officeDocument/2006/relationships/hyperlink" Target="file:///\\192.168.1.12\qlcl1900\Q10.%20QC-2023\Q10.%20GLP-Thanh%20Ha\3.%20THI&#7870;T%20B&#7882;\3.%20K&#272;%20-%20HC%20-%20BT\N&#259;m%202023\03\YA201067031_2023.03.14_Buy%20Nitrogen%20tank.zip" TargetMode="External"/><Relationship Id="rId85" Type="http://schemas.openxmlformats.org/officeDocument/2006/relationships/printerSettings" Target="../printerSettings/printerSettings3.bin"/><Relationship Id="rId3" Type="http://schemas.openxmlformats.org/officeDocument/2006/relationships/hyperlink" Target="file:///\\192.168.1.12\qlcl1900\Q10.%20QC-2023\Q10.%20GLP-Thanh%20Ha\3.%20THI&#7870;T%20B&#7882;\3.%20K&#272;%20-%20HC%20-%20BT\N&#259;m%202023\01\KN.TB.190-196_2023.01.10_HC.pdf" TargetMode="External"/><Relationship Id="rId12" Type="http://schemas.openxmlformats.org/officeDocument/2006/relationships/hyperlink" Target="file:///\\192.168.1.12\qlcl1900\Q10.%20QC-2023\Q10.%20GLP-Thanh%20Ha\3.%20THI&#7870;T%20B&#7882;\3.%20K&#272;%20-%20HC%20-%20BT\N&#259;m%202023\01\KN.TB.187-192_2023.01.10_HC.pdf" TargetMode="External"/><Relationship Id="rId17" Type="http://schemas.openxmlformats.org/officeDocument/2006/relationships/hyperlink" Target="file:///\\192.168.1.12\qlcl1900\Q10.%20QC-2023\Q10.%20GLP-Thanh%20Ha\3.%20THI&#7870;T%20B&#7882;\3.%20K&#272;%20-%20HC%20-%20BT\N&#259;m%202023\02\2023.02.09_Buy%20USB-R25,%20Inlab%20Solids%20Pro.zip" TargetMode="External"/><Relationship Id="rId25" Type="http://schemas.openxmlformats.org/officeDocument/2006/relationships/hyperlink" Target="file:///\\192.168.1.12\qlcl1900\Q10.%20QC-2023\Q10.%20GLP-Thanh%20Ha\3.%20THI&#7870;T%20B&#7882;\3.%20K&#272;%20-%20HC%20-%20BT\N&#259;m%202023\01\KN.TB.02_2023.01.18_BT.pdf" TargetMode="External"/><Relationship Id="rId33" Type="http://schemas.openxmlformats.org/officeDocument/2006/relationships/hyperlink" Target="file:///\\192.168.1.12\qlcl1900\Q10.%20QC-2023\Q10.%20GLP-Thanh%20Ha\3.%20THI&#7870;T%20B&#7882;\3.%20K&#272;%20-%20HC%20-%20BT\N&#259;m%202023\01\KN.TB.88_2023.01.16_BT.pdf" TargetMode="External"/><Relationship Id="rId38" Type="http://schemas.openxmlformats.org/officeDocument/2006/relationships/hyperlink" Target="file:///\\192.168.1.12\qlcl1900\Q10.%20QC-2023\Q10.%20GLP-Thanh%20Ha\3.%20THI&#7870;T%20B&#7882;\3.%20K&#272;%20-%20HC%20-%20BT\N&#259;m%202023\01\KN.TB.112_2023.01.13_BT.pdf" TargetMode="External"/><Relationship Id="rId46" Type="http://schemas.openxmlformats.org/officeDocument/2006/relationships/hyperlink" Target="file:///\\192.168.1.12\qlcl1900\Q10.%20QC-2023\Q10.%20GLP-Thanh%20Ha\3.%20THI&#7870;T%20B&#7882;\3.%20K&#272;%20-%20HC%20-%20BT\N&#259;m%202023\01\KN.TB.169_2023.01.13_BT.pdf" TargetMode="External"/><Relationship Id="rId59" Type="http://schemas.openxmlformats.org/officeDocument/2006/relationships/hyperlink" Target="file:///\\192.168.1.12\qlcl1900\Q10.%20QC-2023\Q10.%20GLP-Thanh%20Ha\3.%20THI&#7870;T%20B&#7882;\3.%20K&#272;%20-%20HC%20-%20BT\N&#259;m%202023\02\KN.TB.96_2023.02.11_BT.pdf" TargetMode="External"/><Relationship Id="rId67" Type="http://schemas.openxmlformats.org/officeDocument/2006/relationships/hyperlink" Target="file:///\\192.168.1.12\qlcl1900\Q10.%20QC-2023\Q10.%20GLP-Thanh%20Ha\3.%20THI&#7870;T%20B&#7882;\3.%20K&#272;%20-%20HC%20-%20BT\N&#259;m%202023\02\KN.TB.154_2023.02.11_BT.pdf" TargetMode="External"/><Relationship Id="rId20" Type="http://schemas.openxmlformats.org/officeDocument/2006/relationships/hyperlink" Target="file:///\\192.168.1.12\qlcl1900\Q10.%20QC-2023\Q10.%20GLP-Thanh%20Ha\3.%20THI&#7870;T%20B&#7882;\3.%20K&#272;%20-%20HC%20-%20BT\N&#259;m%202023\02\2023.02.13_Frimed%20AF140%20noise.mp4" TargetMode="External"/><Relationship Id="rId41" Type="http://schemas.openxmlformats.org/officeDocument/2006/relationships/hyperlink" Target="file:///\\192.168.1.12\qlcl1900\Q10.%20QC-2023\Q10.%20GLP-Thanh%20Ha\3.%20THI&#7870;T%20B&#7882;\3.%20K&#272;%20-%20HC%20-%20BT\N&#259;m%202023\01\KN.TB.155_2023.01.05_BT.pdf" TargetMode="External"/><Relationship Id="rId54" Type="http://schemas.openxmlformats.org/officeDocument/2006/relationships/hyperlink" Target="file:///\\192.168.1.12\qlcl1900\Q10.%20QC-2023\Q10.%20GLP-Thanh%20Ha\3.%20THI&#7870;T%20B&#7882;\3.%20K&#272;%20-%20HC%20-%20BT\N&#259;m%202023\02\KN.TB.50_2023.02.14_BT.pdf" TargetMode="External"/><Relationship Id="rId62" Type="http://schemas.openxmlformats.org/officeDocument/2006/relationships/hyperlink" Target="file:///\\192.168.1.12\qlcl1900\Q10.%20QC-2023\Q10.%20GLP-Thanh%20Ha\3.%20THI&#7870;T%20B&#7882;\3.%20K&#272;%20-%20HC%20-%20BT\N&#259;m%202023\02\KN.TB.136_2023.02.18_BT.pdf" TargetMode="External"/><Relationship Id="rId70" Type="http://schemas.openxmlformats.org/officeDocument/2006/relationships/hyperlink" Target="file:///\\192.168.1.12\qlcl1900\Q10.%20QC-2023\Q10.%20GLP-Thanh%20Ha\3.%20THI&#7870;T%20B&#7882;\3.%20K&#272;%20-%20HC%20-%20BT\N&#259;m%202023\03\KN.TB.20_2023.03.11_K&#272;.pdf" TargetMode="External"/><Relationship Id="rId75" Type="http://schemas.openxmlformats.org/officeDocument/2006/relationships/hyperlink" Target="file:///\\192.168.1.12\qlcl1900\Q10.%20QC-2023\Q10.%20GLP-Thanh%20Ha\3.%20THI&#7870;T%20B&#7882;\3.%20K&#272;%20-%20HC%20-%20BT\N&#259;m%202023\02\KN.TB.158_2023.02.23_PQ.pdf" TargetMode="External"/><Relationship Id="rId83" Type="http://schemas.openxmlformats.org/officeDocument/2006/relationships/hyperlink" Target="file:///\\192.168.1.12\qlcl1900\Q10.%20QC-2023\Q10.%20GLP-Thanh%20Ha\3.%20THI&#7870;T%20B&#7882;\3.%20K&#272;%20-%20HC%20-%20BT\N&#259;m%202023\02\KN.TB.153_2023.02.26_BT.pdf" TargetMode="External"/><Relationship Id="rId1" Type="http://schemas.openxmlformats.org/officeDocument/2006/relationships/hyperlink" Target="file:///\\192.168.1.12\qlcl1900\Q10.%20QC-2023\Q10.%20GLP-Thanh%20Ha\3.%20THI&#7870;T%20B&#7882;\3.%20K&#272;%20-%20HC%20-%20BT\N&#259;m%202023\01\CL.TB.33_2023.01.10_HC.pdf" TargetMode="External"/><Relationship Id="rId6" Type="http://schemas.openxmlformats.org/officeDocument/2006/relationships/hyperlink" Target="file:///\\192.168.1.12\qlcl1900\Q10.%20QC-2023\Q10.%20GLP-Thanh%20Ha\3.%20THI&#7870;T%20B&#7882;\3.%20K&#272;%20-%20HC%20-%20BT\N&#259;m%202023\01\KN.TB.185_2023.01.10_HC.pdf" TargetMode="External"/><Relationship Id="rId15" Type="http://schemas.openxmlformats.org/officeDocument/2006/relationships/hyperlink" Target="file:///\\192.168.1.12\qlcl1900\Q10.%20QC-2023\Q10.%20GLP-Thanh%20Ha\3.%20THI&#7870;T%20B&#7882;\3.%20K&#272;%20-%20HC%20-%20BT\N&#259;m%202023\02\2023.02.15_AgilentLabAdvisor_TraceExport.zip" TargetMode="External"/><Relationship Id="rId23" Type="http://schemas.openxmlformats.org/officeDocument/2006/relationships/hyperlink" Target="file:///\\192.168.1.12\qlcl1900\Q10.%20QC-2023\Q10.%20GLP-Thanh%20Ha\3.%20THI&#7870;T%20B&#7882;\3.%20K&#272;%20-%20HC%20-%20BT\N&#259;m%202023\02\2023.02.16_Frimed%20AF140%20increased%20temperature%20fixed.zip" TargetMode="External"/><Relationship Id="rId28" Type="http://schemas.openxmlformats.org/officeDocument/2006/relationships/hyperlink" Target="file:///\\192.168.1.12\qlcl1900\Q10.%20QC-2023\Q10.%20GLP-Thanh%20Ha\3.%20THI&#7870;T%20B&#7882;\3.%20K&#272;%20-%20HC%20-%20BT\N&#259;m%202023\01\KN.TB.20_2023.01.18_BT.pdf" TargetMode="External"/><Relationship Id="rId36" Type="http://schemas.openxmlformats.org/officeDocument/2006/relationships/hyperlink" Target="file:///\\192.168.1.12\qlcl1900\Q10.%20QC-2023\Q10.%20GLP-Thanh%20Ha\3.%20THI&#7870;T%20B&#7882;\3.%20K&#272;%20-%20HC%20-%20BT\N&#259;m%202023\01\KN.TB.105_2023.01.19_BT.zip" TargetMode="External"/><Relationship Id="rId49" Type="http://schemas.openxmlformats.org/officeDocument/2006/relationships/hyperlink" Target="file:///\\192.168.1.12\qlcl1900\Q10.%20QC-2023\Q10.%20GLP-Thanh%20Ha\3.%20THI&#7870;T%20B&#7882;\3.%20K&#272;%20-%20HC%20-%20BT\N&#259;m%202023\01\KN.TB.172_2023.01.13_BT.pdf" TargetMode="External"/><Relationship Id="rId57" Type="http://schemas.openxmlformats.org/officeDocument/2006/relationships/hyperlink" Target="file:///\\192.168.1.12\qlcl1900\Q10.%20QC-2023\Q10.%20GLP-Thanh%20Ha\3.%20THI&#7870;T%20B&#7882;\3.%20K&#272;%20-%20HC%20-%20BT\N&#259;m%202023\02\KN.TB.70_2023.02.14_BT.pdf" TargetMode="External"/><Relationship Id="rId10" Type="http://schemas.openxmlformats.org/officeDocument/2006/relationships/hyperlink" Target="file:///\\192.168.1.12\qlcl1900\Q10.%20QC-2023\Q10.%20GLP-Thanh%20Ha\3.%20THI&#7870;T%20B&#7882;\3.%20K&#272;%20-%20HC%20-%20BT\N&#259;m%202023\01\KN.TB.189-194_2023.01.10_HC.pdf" TargetMode="External"/><Relationship Id="rId31" Type="http://schemas.openxmlformats.org/officeDocument/2006/relationships/hyperlink" Target="file:///\\192.168.1.12\qlcl1900\Q10.%20QC-2023\Q10.%20GLP-Thanh%20Ha\3.%20THI&#7870;T%20B&#7882;\3.%20K&#272;%20-%20HC%20-%20BT\N&#259;m%202023\01\KN.TB.54B_2023.01.18_BT.pdf" TargetMode="External"/><Relationship Id="rId44" Type="http://schemas.openxmlformats.org/officeDocument/2006/relationships/hyperlink" Target="file:///\\192.168.1.12\qlcl1900\Q10.%20QC-2023\Q10.%20GLP-Thanh%20Ha\3.%20THI&#7870;T%20B&#7882;\3.%20K&#272;%20-%20HC%20-%20BT\N&#259;m%202023\01\KN.TB.165_2023.01.19_BT.zip" TargetMode="External"/><Relationship Id="rId52" Type="http://schemas.openxmlformats.org/officeDocument/2006/relationships/hyperlink" Target="file:///\\192.168.1.12\qlcl1900\Q10.%20QC-2023\Q10.%20GLP-Thanh%20Ha\3.%20THI&#7870;T%20B&#7882;\3.%20K&#272;%20-%20HC%20-%20BT\N&#259;m%202023\02\KN.TB.30_2023.02.14_BT.pdf" TargetMode="External"/><Relationship Id="rId60" Type="http://schemas.openxmlformats.org/officeDocument/2006/relationships/hyperlink" Target="file:///\\192.168.1.12\qlcl1900\Q10.%20QC-2023\Q10.%20GLP-Thanh%20Ha\3.%20THI&#7870;T%20B&#7882;\3.%20K&#272;%20-%20HC%20-%20BT\N&#259;m%202023\02\KN.TB.110_2023.02.27_BT.pdf" TargetMode="External"/><Relationship Id="rId65" Type="http://schemas.openxmlformats.org/officeDocument/2006/relationships/hyperlink" Target="file:///\\192.168.1.12\qlcl1900\Q10.%20QC-2023\Q10.%20GLP-Thanh%20Ha\3.%20THI&#7870;T%20B&#7882;\3.%20K&#272;%20-%20HC%20-%20BT\N&#259;m%202023\02\KN.TB.152_2023.02.01_HC.pdf" TargetMode="External"/><Relationship Id="rId73" Type="http://schemas.openxmlformats.org/officeDocument/2006/relationships/hyperlink" Target="file:///\\192.168.1.12\qlcl1900\Q10.%20QC-2023\Q10.%20GLP-Thanh%20Ha\3.%20THI&#7870;T%20B&#7882;\3.%20K&#272;%20-%20HC%20-%20BT\N&#259;m%202023\03\KN.TB.88_2023.03.11_K&#272;.pdf" TargetMode="External"/><Relationship Id="rId78" Type="http://schemas.openxmlformats.org/officeDocument/2006/relationships/hyperlink" Target="file:///\\192.168.1.12\qlcl1900\Q10.%20QC-2023\Q10.%20GLP-Thanh%20Ha\3.%20THI&#7870;T%20B&#7882;\3.%20K&#272;%20-%20HC%20-%20BT\N&#259;m%202023\02\2023.02.22_Nh&#7853;p%20ph&#7909;%20ki&#7879;n%20Hitachi%20Chromaster.zip" TargetMode="External"/><Relationship Id="rId81" Type="http://schemas.openxmlformats.org/officeDocument/2006/relationships/hyperlink" Target="file:///\\192.168.1.12\qlcl1900\Q10.%20QC-2023\Q10.%20GLP-Thanh%20Ha\3.%20THI&#7870;T%20B&#7882;\3.%20K&#272;%20-%20HC%20-%20BT\N&#259;m%202023\02\KN.TB.151_2023.02.26_BT.pdf" TargetMode="External"/><Relationship Id="rId86" Type="http://schemas.openxmlformats.org/officeDocument/2006/relationships/table" Target="../tables/table4.xml"/><Relationship Id="rId4" Type="http://schemas.openxmlformats.org/officeDocument/2006/relationships/hyperlink" Target="file:///\\192.168.1.12\qlcl1900\Q10.%20QC-2023\Q10.%20GLP-Thanh%20Ha\3.%20THI&#7870;T%20B&#7882;\3.%20K&#272;%20-%20HC%20-%20BT\N&#259;m%202023\01\KN.TB.186-191_2023.01.10_HC.pdf" TargetMode="External"/><Relationship Id="rId9" Type="http://schemas.openxmlformats.org/officeDocument/2006/relationships/hyperlink" Target="file:///\\192.168.1.12\qlcl1900\Q10.%20QC-2023\Q10.%20GLP-Thanh%20Ha\3.%20THI&#7870;T%20B&#7882;\3.%20K&#272;%20-%20HC%20-%20BT\N&#259;m%202023\01\KN.TB.188-193_2023.01.10_HC.pdf" TargetMode="External"/><Relationship Id="rId13" Type="http://schemas.openxmlformats.org/officeDocument/2006/relationships/hyperlink" Target="file:///\\192.168.1.12\qlcl1900\Q10.%20QC-2023\Q10.%20GLP-Thanh%20Ha\3.%20THI&#7870;T%20B&#7882;\3.%20K&#272;%20-%20HC%20-%20BT\N&#259;m%202023\01\KN.TB.190-195_2023.01.10_HC.pdf" TargetMode="External"/><Relationship Id="rId18" Type="http://schemas.openxmlformats.org/officeDocument/2006/relationships/hyperlink" Target="file:///\\192.168.1.12\qlcl1900\Q10.%20QC-2023\Q10.%20GLP-Thanh%20Ha\3.%20THI&#7870;T%20B&#7882;\3.%20K&#272;%20-%20HC%20-%20BT\N&#259;m%202023\02\2023.02.09_Buy%20USB-R25,%20Inlab%20Solids%20Pro.zip" TargetMode="External"/><Relationship Id="rId39" Type="http://schemas.openxmlformats.org/officeDocument/2006/relationships/hyperlink" Target="file:///\\192.168.1.12\qlcl1900\Q10.%20QC-2023\Q10.%20GLP-Thanh%20Ha\3.%20THI&#7870;T%20B&#7882;\3.%20K&#272;%20-%20HC%20-%20BT\N&#259;m%202023\01\KN.TB.140_2023.01.19_BT.zip" TargetMode="External"/><Relationship Id="rId34" Type="http://schemas.openxmlformats.org/officeDocument/2006/relationships/hyperlink" Target="file:///\\192.168.1.12\qlcl1900\Q10.%20QC-2023\Q10.%20GLP-Thanh%20Ha\3.%20THI&#7870;T%20B&#7882;\3.%20K&#272;%20-%20HC%20-%20BT\N&#259;m%202023\01\KN.TB.93_2023.01.19_BT.zip" TargetMode="External"/><Relationship Id="rId50" Type="http://schemas.openxmlformats.org/officeDocument/2006/relationships/hyperlink" Target="file:///\\192.168.1.12\qlcl1900\Q10.%20QC-2023\Q10.%20GLP-Thanh%20Ha\3.%20THI&#7870;T%20B&#7882;\3.%20K&#272;%20-%20HC%20-%20BT\N&#259;m%202023\01\KN.TB.198_2023.01.13_BT.pdf" TargetMode="External"/><Relationship Id="rId55" Type="http://schemas.openxmlformats.org/officeDocument/2006/relationships/hyperlink" Target="file:///\\192.168.1.12\qlcl1900\Q10.%20QC-2023\Q10.%20GLP-Thanh%20Ha\3.%20THI&#7870;T%20B&#7882;\3.%20K&#272;%20-%20HC%20-%20BT\N&#259;m%202023\02\KN.TB.57_2023.02.18_BT.pdf" TargetMode="External"/><Relationship Id="rId76" Type="http://schemas.openxmlformats.org/officeDocument/2006/relationships/hyperlink" Target="file:///\\192.168.1.12\qlcl1900\Q10.%20QC-2023\Q10.%20GLP-Thanh%20Ha\3.%20THI&#7870;T%20B&#7882;\3.%20K&#272;%20-%20HC%20-%20BT\N&#259;m%202023\02\KN.TB.159_2023.02.23_PQ.pdf" TargetMode="External"/><Relationship Id="rId7" Type="http://schemas.openxmlformats.org/officeDocument/2006/relationships/hyperlink" Target="file:///\\192.168.1.12\qlcl1900\Q10.%20QC-2023\Q10.%20GLP-Thanh%20Ha\3.%20THI&#7870;T%20B&#7882;\3.%20K&#272;%20-%20HC%20-%20BT\N&#259;m%202023\01\KN.TB.186-191_2023.01.10_HC.pdf" TargetMode="External"/><Relationship Id="rId71" Type="http://schemas.openxmlformats.org/officeDocument/2006/relationships/hyperlink" Target="file:///\\192.168.1.12\qlcl1900\Q10.%20QC-2023\Q10.%20GLP-Thanh%20Ha\3.%20THI&#7870;T%20B&#7882;\3.%20K&#272;%20-%20HC%20-%20BT\N&#259;m%202023\03\KN.TB.31_2023.03.11_K&#272;.pdf" TargetMode="External"/><Relationship Id="rId2" Type="http://schemas.openxmlformats.org/officeDocument/2006/relationships/hyperlink" Target="file:///\\192.168.1.12\qlcl1900\Q10.%20QC-2023\Q10.%20GLP-Thanh%20Ha\3.%20THI&#7870;T%20B&#7882;\3.%20K&#272;%20-%20HC%20-%20BT\N&#259;m%202023\01\KN.TB.197_2023.01.10_HC.pdf" TargetMode="External"/><Relationship Id="rId29" Type="http://schemas.openxmlformats.org/officeDocument/2006/relationships/hyperlink" Target="file:///\\192.168.1.12\qlcl1900\Q10.%20QC-2023\Q10.%20GLP-Thanh%20Ha\3.%20THI&#7870;T%20B&#7882;\3.%20K&#272;%20-%20HC%20-%20BT\N&#259;m%202023\01\KN.TB.48_2023.01.18_BT.pdf" TargetMode="External"/><Relationship Id="rId24" Type="http://schemas.openxmlformats.org/officeDocument/2006/relationships/hyperlink" Target="file:///\\192.168.1.12\qlcl1900\Q10.%20QC-2023\Q10.%20GLP-Thanh%20Ha\3.%20THI&#7870;T%20B&#7882;\3.%20K&#272;%20-%20HC%20-%20BT\N&#259;m%202023\02\2023.02.21_Change%20Agilent%201260%20Pump%20Drive.zip" TargetMode="External"/><Relationship Id="rId40" Type="http://schemas.openxmlformats.org/officeDocument/2006/relationships/hyperlink" Target="file:///\\192.168.1.12\qlcl1900\Q10.%20QC-2023\Q10.%20GLP-Thanh%20Ha\3.%20THI&#7870;T%20B&#7882;\3.%20K&#272;%20-%20HC%20-%20BT\N&#259;m%202023\01\KN.TB.143_2023.01.19_BT.zip" TargetMode="External"/><Relationship Id="rId45" Type="http://schemas.openxmlformats.org/officeDocument/2006/relationships/hyperlink" Target="file:///\\192.168.1.12\qlcl1900\Q10.%20QC-2023\Q10.%20GLP-Thanh%20Ha\3.%20THI&#7870;T%20B&#7882;\3.%20K&#272;%20-%20HC%20-%20BT\N&#259;m%202023\01\KN.TB.166_2023.01.12_BT.pdf" TargetMode="External"/><Relationship Id="rId66" Type="http://schemas.openxmlformats.org/officeDocument/2006/relationships/hyperlink" Target="file:///\\192.168.1.12\qlcl1900\Q10.%20QC-2023\Q10.%20GLP-Thanh%20Ha\3.%20THI&#7870;T%20B&#7882;\3.%20K&#272;%20-%20HC%20-%20BT\N&#259;m%202023\02\KN.TB.153_2023.02.01_HC.pdf" TargetMode="External"/><Relationship Id="rId61" Type="http://schemas.openxmlformats.org/officeDocument/2006/relationships/hyperlink" Target="file:///\\192.168.1.12\qlcl1900\Q10.%20QC-2023\Q10.%20GLP-Thanh%20Ha\3.%20THI&#7870;T%20B&#7882;\3.%20K&#272;%20-%20HC%20-%20BT\N&#259;m%202023\02\KN.TB.125_2023.02.14_BT.pdf" TargetMode="External"/><Relationship Id="rId82" Type="http://schemas.openxmlformats.org/officeDocument/2006/relationships/hyperlink" Target="file:///\\192.168.1.12\qlcl1900\Q10.%20QC-2023\Q10.%20GLP-Thanh%20Ha\3.%20THI&#7870;T%20B&#7882;\3.%20K&#272;%20-%20HC%20-%20BT\N&#259;m%202023\02\KN.TB.152_2023.02.26_BT.pdf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C4EC5-64EE-47E7-9ECE-93EAA05BF5AB}">
  <sheetPr codeName="Sheet5"/>
  <dimension ref="A3:B19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24" bestFit="1" customWidth="1"/>
    <col min="3" max="15" width="16.28515625" bestFit="1" customWidth="1"/>
    <col min="16" max="16" width="11.28515625" bestFit="1" customWidth="1"/>
  </cols>
  <sheetData>
    <row r="3" spans="1:2" x14ac:dyDescent="0.25">
      <c r="A3" s="15" t="s">
        <v>710</v>
      </c>
      <c r="B3" t="s">
        <v>711</v>
      </c>
    </row>
    <row r="4" spans="1:2" x14ac:dyDescent="0.25">
      <c r="A4" s="16" t="s">
        <v>674</v>
      </c>
      <c r="B4">
        <v>21</v>
      </c>
    </row>
    <row r="5" spans="1:2" x14ac:dyDescent="0.25">
      <c r="A5" s="16" t="s">
        <v>676</v>
      </c>
      <c r="B5">
        <v>2</v>
      </c>
    </row>
    <row r="6" spans="1:2" x14ac:dyDescent="0.25">
      <c r="A6" s="16" t="s">
        <v>672</v>
      </c>
      <c r="B6">
        <v>1</v>
      </c>
    </row>
    <row r="7" spans="1:2" x14ac:dyDescent="0.25">
      <c r="A7" s="16" t="s">
        <v>670</v>
      </c>
      <c r="B7">
        <v>7</v>
      </c>
    </row>
    <row r="8" spans="1:2" x14ac:dyDescent="0.25">
      <c r="A8" s="16" t="s">
        <v>682</v>
      </c>
      <c r="B8">
        <v>5</v>
      </c>
    </row>
    <row r="9" spans="1:2" x14ac:dyDescent="0.25">
      <c r="A9" s="16" t="s">
        <v>675</v>
      </c>
      <c r="B9">
        <v>4</v>
      </c>
    </row>
    <row r="10" spans="1:2" x14ac:dyDescent="0.25">
      <c r="A10" s="16" t="s">
        <v>677</v>
      </c>
      <c r="B10">
        <v>29</v>
      </c>
    </row>
    <row r="11" spans="1:2" x14ac:dyDescent="0.25">
      <c r="A11" s="16" t="s">
        <v>681</v>
      </c>
      <c r="B11">
        <v>1</v>
      </c>
    </row>
    <row r="12" spans="1:2" x14ac:dyDescent="0.25">
      <c r="A12" s="16" t="s">
        <v>678</v>
      </c>
      <c r="B12">
        <v>2</v>
      </c>
    </row>
    <row r="13" spans="1:2" x14ac:dyDescent="0.25">
      <c r="A13" s="16" t="s">
        <v>679</v>
      </c>
      <c r="B13">
        <v>19</v>
      </c>
    </row>
    <row r="14" spans="1:2" x14ac:dyDescent="0.25">
      <c r="A14" s="16" t="s">
        <v>680</v>
      </c>
      <c r="B14">
        <v>6</v>
      </c>
    </row>
    <row r="15" spans="1:2" x14ac:dyDescent="0.25">
      <c r="A15" s="16" t="s">
        <v>684</v>
      </c>
      <c r="B15">
        <v>7</v>
      </c>
    </row>
    <row r="16" spans="1:2" x14ac:dyDescent="0.25">
      <c r="A16" s="16" t="s">
        <v>683</v>
      </c>
      <c r="B16">
        <v>3</v>
      </c>
    </row>
    <row r="17" spans="1:2" x14ac:dyDescent="0.25">
      <c r="A17" s="16" t="s">
        <v>671</v>
      </c>
      <c r="B17">
        <v>81</v>
      </c>
    </row>
    <row r="18" spans="1:2" x14ac:dyDescent="0.25">
      <c r="A18" s="16" t="s">
        <v>673</v>
      </c>
      <c r="B18">
        <v>44</v>
      </c>
    </row>
    <row r="19" spans="1:2" x14ac:dyDescent="0.25">
      <c r="A19" s="16" t="s">
        <v>709</v>
      </c>
      <c r="B19">
        <v>232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FD13B-239E-4EA2-8CCA-7C685BC859BD}">
  <sheetPr codeName="Sheet6"/>
  <dimension ref="A1:B10"/>
  <sheetViews>
    <sheetView workbookViewId="0">
      <selection activeCell="C17" sqref="C17"/>
    </sheetView>
  </sheetViews>
  <sheetFormatPr defaultColWidth="8.85546875" defaultRowHeight="15" x14ac:dyDescent="0.25"/>
  <cols>
    <col min="1" max="1" width="9.7109375" style="1" bestFit="1" customWidth="1"/>
    <col min="2" max="2" width="16.42578125" style="1" bestFit="1" customWidth="1"/>
    <col min="3" max="16384" width="8.85546875" style="1"/>
  </cols>
  <sheetData>
    <row r="1" spans="1:2" x14ac:dyDescent="0.25">
      <c r="A1" s="1" t="s">
        <v>742</v>
      </c>
      <c r="B1" s="1" t="s">
        <v>743</v>
      </c>
    </row>
    <row r="2" spans="1:2" x14ac:dyDescent="0.25">
      <c r="A2" s="1" t="s">
        <v>17</v>
      </c>
      <c r="B2" s="1" t="s">
        <v>744</v>
      </c>
    </row>
    <row r="3" spans="1:2" x14ac:dyDescent="0.25">
      <c r="A3" s="1" t="s">
        <v>15</v>
      </c>
      <c r="B3" s="1" t="s">
        <v>745</v>
      </c>
    </row>
    <row r="4" spans="1:2" x14ac:dyDescent="0.25">
      <c r="A4" s="1" t="s">
        <v>16</v>
      </c>
      <c r="B4" s="1" t="s">
        <v>746</v>
      </c>
    </row>
    <row r="5" spans="1:2" x14ac:dyDescent="0.25">
      <c r="A5" s="1" t="s">
        <v>726</v>
      </c>
      <c r="B5" s="1" t="s">
        <v>747</v>
      </c>
    </row>
    <row r="6" spans="1:2" x14ac:dyDescent="0.25">
      <c r="A6" s="1" t="s">
        <v>727</v>
      </c>
      <c r="B6" s="1" t="s">
        <v>748</v>
      </c>
    </row>
    <row r="7" spans="1:2" x14ac:dyDescent="0.25">
      <c r="A7" s="1" t="s">
        <v>28</v>
      </c>
      <c r="B7" s="1" t="s">
        <v>749</v>
      </c>
    </row>
    <row r="8" spans="1:2" x14ac:dyDescent="0.25">
      <c r="A8" s="1" t="s">
        <v>750</v>
      </c>
      <c r="B8" s="1" t="s">
        <v>731</v>
      </c>
    </row>
    <row r="9" spans="1:2" x14ac:dyDescent="0.25">
      <c r="A9" s="1" t="s">
        <v>751</v>
      </c>
      <c r="B9" s="1" t="s">
        <v>730</v>
      </c>
    </row>
    <row r="10" spans="1:2" x14ac:dyDescent="0.25">
      <c r="A10" s="1" t="s">
        <v>752</v>
      </c>
      <c r="B10" s="1" t="s">
        <v>728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FBEE7-53AE-4518-AB52-6BCB4C55D093}">
  <sheetPr codeName="Sheet3"/>
  <dimension ref="A1:T235"/>
  <sheetViews>
    <sheetView topLeftCell="B83" workbookViewId="0">
      <selection activeCell="C102" sqref="C102"/>
    </sheetView>
  </sheetViews>
  <sheetFormatPr defaultColWidth="8.85546875" defaultRowHeight="15" x14ac:dyDescent="0.25"/>
  <cols>
    <col min="1" max="1" width="6.140625" style="1" bestFit="1" customWidth="1"/>
    <col min="2" max="2" width="14.85546875" style="1" bestFit="1" customWidth="1"/>
    <col min="3" max="3" width="36.28515625" style="1" customWidth="1"/>
    <col min="4" max="4" width="13.7109375" style="1" customWidth="1"/>
    <col min="5" max="5" width="22.28515625" style="1" customWidth="1"/>
    <col min="6" max="6" width="9.7109375" style="1" customWidth="1"/>
    <col min="7" max="7" width="30.7109375" style="1" customWidth="1"/>
    <col min="8" max="8" width="15.85546875" style="1" customWidth="1"/>
    <col min="9" max="9" width="17" style="1" customWidth="1"/>
    <col min="10" max="10" width="29.85546875" style="1" customWidth="1"/>
    <col min="11" max="11" width="10.28515625" style="1" bestFit="1" customWidth="1"/>
    <col min="12" max="12" width="10.140625" style="1" bestFit="1" customWidth="1"/>
    <col min="13" max="13" width="8.28515625" style="1" customWidth="1"/>
    <col min="14" max="14" width="6.5703125" style="1" bestFit="1" customWidth="1"/>
    <col min="15" max="16" width="6.28515625" style="1" bestFit="1" customWidth="1"/>
    <col min="17" max="17" width="7.28515625" style="1" customWidth="1"/>
    <col min="18" max="18" width="10.5703125" style="1" customWidth="1"/>
    <col min="19" max="19" width="6.85546875" style="1" customWidth="1"/>
    <col min="20" max="16384" width="8.85546875" style="1"/>
  </cols>
  <sheetData>
    <row r="1" spans="1:20" x14ac:dyDescent="0.25">
      <c r="A1" s="1" t="s">
        <v>33</v>
      </c>
      <c r="B1" s="1" t="s">
        <v>0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26</v>
      </c>
      <c r="L1" s="1" t="s">
        <v>27</v>
      </c>
      <c r="M1" s="1" t="s">
        <v>687</v>
      </c>
      <c r="N1" s="1" t="s">
        <v>15</v>
      </c>
      <c r="O1" s="1" t="s">
        <v>16</v>
      </c>
      <c r="P1" s="1" t="s">
        <v>28</v>
      </c>
      <c r="Q1" s="1" t="s">
        <v>29</v>
      </c>
      <c r="R1" s="1" t="s">
        <v>30</v>
      </c>
      <c r="S1" s="1" t="s">
        <v>31</v>
      </c>
      <c r="T1" s="1" t="s">
        <v>32</v>
      </c>
    </row>
    <row r="2" spans="1:20" x14ac:dyDescent="0.25">
      <c r="A2" s="1">
        <v>1</v>
      </c>
      <c r="B2" s="1" t="s">
        <v>34</v>
      </c>
      <c r="C2" s="1" t="s">
        <v>48</v>
      </c>
      <c r="D2" s="8">
        <v>30671455</v>
      </c>
      <c r="E2" s="13" t="s">
        <v>396</v>
      </c>
      <c r="F2" s="1">
        <v>2006</v>
      </c>
      <c r="G2" s="1" t="s">
        <v>397</v>
      </c>
      <c r="H2" s="7">
        <v>39167</v>
      </c>
      <c r="I2" s="1" t="s">
        <v>398</v>
      </c>
      <c r="J2" s="1" t="s">
        <v>399</v>
      </c>
      <c r="K2" s="1">
        <v>12</v>
      </c>
      <c r="N2" s="1">
        <v>12</v>
      </c>
      <c r="O2" s="1">
        <v>3</v>
      </c>
      <c r="Q2" s="1" t="s">
        <v>669</v>
      </c>
      <c r="R2" s="1" t="s">
        <v>670</v>
      </c>
      <c r="S2" s="1">
        <v>2</v>
      </c>
    </row>
    <row r="3" spans="1:20" x14ac:dyDescent="0.25">
      <c r="A3" s="1">
        <v>2</v>
      </c>
      <c r="B3" s="1" t="s">
        <v>35</v>
      </c>
      <c r="C3" s="1" t="s">
        <v>49</v>
      </c>
      <c r="D3" s="8">
        <v>10000000</v>
      </c>
      <c r="E3" s="13" t="s">
        <v>400</v>
      </c>
      <c r="G3" s="1" t="s">
        <v>401</v>
      </c>
      <c r="H3" s="7">
        <v>37751</v>
      </c>
      <c r="I3" s="1" t="s">
        <v>402</v>
      </c>
      <c r="J3" s="1" t="s">
        <v>403</v>
      </c>
      <c r="O3" s="1">
        <v>12</v>
      </c>
      <c r="R3" s="1" t="s">
        <v>679</v>
      </c>
      <c r="S3" s="1">
        <v>85</v>
      </c>
    </row>
    <row r="4" spans="1:20" x14ac:dyDescent="0.25">
      <c r="A4" s="1">
        <v>3</v>
      </c>
      <c r="B4" s="1" t="s">
        <v>36</v>
      </c>
      <c r="C4" s="1" t="s">
        <v>50</v>
      </c>
      <c r="D4" s="8">
        <v>38974932</v>
      </c>
      <c r="E4" s="13" t="s">
        <v>404</v>
      </c>
      <c r="F4" s="1">
        <v>2003</v>
      </c>
      <c r="G4" s="1" t="s">
        <v>405</v>
      </c>
      <c r="H4" s="7">
        <v>38142</v>
      </c>
      <c r="I4" s="1" t="s">
        <v>398</v>
      </c>
      <c r="J4" s="1" t="s">
        <v>406</v>
      </c>
      <c r="K4" s="1">
        <v>12</v>
      </c>
      <c r="N4" s="1">
        <v>12</v>
      </c>
      <c r="O4" s="1">
        <v>3</v>
      </c>
      <c r="Q4" s="1" t="s">
        <v>669</v>
      </c>
      <c r="R4" s="1" t="s">
        <v>670</v>
      </c>
      <c r="S4" s="1">
        <v>2</v>
      </c>
    </row>
    <row r="5" spans="1:20" x14ac:dyDescent="0.25">
      <c r="A5" s="1">
        <v>4</v>
      </c>
      <c r="B5" s="1" t="s">
        <v>37</v>
      </c>
      <c r="C5" s="1" t="s">
        <v>51</v>
      </c>
      <c r="D5" s="8">
        <v>3356364</v>
      </c>
      <c r="E5" s="13" t="s">
        <v>407</v>
      </c>
      <c r="G5" s="1" t="s">
        <v>408</v>
      </c>
      <c r="H5" s="7">
        <v>43180</v>
      </c>
      <c r="I5" s="1" t="s">
        <v>402</v>
      </c>
      <c r="J5" s="1" t="s">
        <v>409</v>
      </c>
      <c r="O5" s="1">
        <v>12</v>
      </c>
      <c r="R5" s="1" t="s">
        <v>679</v>
      </c>
      <c r="S5" s="1">
        <v>78</v>
      </c>
    </row>
    <row r="6" spans="1:20" x14ac:dyDescent="0.25">
      <c r="A6" s="1">
        <v>5</v>
      </c>
      <c r="B6" s="1" t="s">
        <v>38</v>
      </c>
      <c r="C6" s="1" t="s">
        <v>52</v>
      </c>
      <c r="D6" s="8">
        <v>10000000</v>
      </c>
      <c r="E6" s="13"/>
      <c r="G6" s="1" t="s">
        <v>410</v>
      </c>
      <c r="H6" s="7">
        <v>39083</v>
      </c>
      <c r="I6" s="1" t="s">
        <v>411</v>
      </c>
      <c r="O6" s="1">
        <v>12</v>
      </c>
      <c r="R6" s="1" t="s">
        <v>672</v>
      </c>
      <c r="S6" s="1">
        <v>1</v>
      </c>
    </row>
    <row r="7" spans="1:20" x14ac:dyDescent="0.25">
      <c r="A7" s="1">
        <v>6</v>
      </c>
      <c r="B7" s="1" t="s">
        <v>39</v>
      </c>
      <c r="C7" s="1" t="s">
        <v>53</v>
      </c>
      <c r="D7" s="8">
        <v>92731848</v>
      </c>
      <c r="E7" s="13" t="s">
        <v>412</v>
      </c>
      <c r="F7" s="1">
        <v>2007</v>
      </c>
      <c r="G7" s="1" t="s">
        <v>413</v>
      </c>
      <c r="H7" s="7">
        <v>39159</v>
      </c>
      <c r="I7" s="1" t="s">
        <v>414</v>
      </c>
      <c r="J7" s="1" t="s">
        <v>415</v>
      </c>
      <c r="N7" s="1">
        <v>12</v>
      </c>
      <c r="O7" s="1">
        <v>6</v>
      </c>
      <c r="R7" s="1" t="s">
        <v>670</v>
      </c>
      <c r="S7" s="1">
        <v>11</v>
      </c>
    </row>
    <row r="8" spans="1:20" x14ac:dyDescent="0.25">
      <c r="A8" s="1">
        <v>7</v>
      </c>
      <c r="B8" s="1" t="s">
        <v>40</v>
      </c>
      <c r="C8" s="1" t="s">
        <v>54</v>
      </c>
      <c r="D8" s="8">
        <v>109838865</v>
      </c>
      <c r="E8" s="13" t="s">
        <v>416</v>
      </c>
      <c r="G8" s="1" t="s">
        <v>417</v>
      </c>
      <c r="H8" s="7">
        <v>37706</v>
      </c>
      <c r="I8" s="1" t="s">
        <v>418</v>
      </c>
      <c r="L8" s="1">
        <v>12</v>
      </c>
      <c r="M8" s="1">
        <v>24</v>
      </c>
      <c r="P8" s="1">
        <v>12</v>
      </c>
      <c r="Q8" s="1" t="s">
        <v>669</v>
      </c>
      <c r="R8" s="1" t="s">
        <v>673</v>
      </c>
      <c r="S8" s="1">
        <v>13</v>
      </c>
    </row>
    <row r="9" spans="1:20" x14ac:dyDescent="0.25">
      <c r="A9" s="1">
        <v>8</v>
      </c>
      <c r="B9" s="1" t="s">
        <v>41</v>
      </c>
      <c r="C9" s="1" t="s">
        <v>55</v>
      </c>
      <c r="D9" s="8">
        <v>36254920</v>
      </c>
      <c r="E9" s="13" t="s">
        <v>419</v>
      </c>
      <c r="G9" s="1" t="s">
        <v>420</v>
      </c>
      <c r="H9" s="7">
        <v>39174</v>
      </c>
      <c r="I9" s="1" t="s">
        <v>421</v>
      </c>
      <c r="J9" s="1" t="s">
        <v>422</v>
      </c>
      <c r="N9" s="1">
        <v>12</v>
      </c>
      <c r="O9" s="1">
        <v>3</v>
      </c>
      <c r="Q9" s="1" t="s">
        <v>669</v>
      </c>
      <c r="R9" s="1" t="s">
        <v>674</v>
      </c>
      <c r="S9" s="1">
        <v>14</v>
      </c>
    </row>
    <row r="10" spans="1:20" x14ac:dyDescent="0.25">
      <c r="A10" s="1">
        <v>9</v>
      </c>
      <c r="B10" s="1" t="s">
        <v>42</v>
      </c>
      <c r="C10" s="1" t="s">
        <v>56</v>
      </c>
      <c r="D10" s="8"/>
      <c r="E10" s="13"/>
      <c r="G10" s="1" t="s">
        <v>423</v>
      </c>
      <c r="H10" s="7"/>
      <c r="I10" s="1" t="s">
        <v>402</v>
      </c>
      <c r="O10" s="1">
        <v>12</v>
      </c>
      <c r="R10" s="1" t="s">
        <v>674</v>
      </c>
      <c r="S10" s="1">
        <v>17</v>
      </c>
    </row>
    <row r="11" spans="1:20" x14ac:dyDescent="0.25">
      <c r="A11" s="1">
        <v>10</v>
      </c>
      <c r="B11" s="1" t="s">
        <v>43</v>
      </c>
      <c r="C11" s="1" t="s">
        <v>57</v>
      </c>
      <c r="D11" s="8">
        <v>25744909</v>
      </c>
      <c r="E11" s="13" t="s">
        <v>424</v>
      </c>
      <c r="F11" s="1">
        <v>2003</v>
      </c>
      <c r="G11" s="1" t="s">
        <v>405</v>
      </c>
      <c r="H11" s="7">
        <v>38142</v>
      </c>
      <c r="I11" s="1" t="s">
        <v>398</v>
      </c>
      <c r="J11" s="1" t="s">
        <v>399</v>
      </c>
      <c r="K11" s="1">
        <v>12</v>
      </c>
      <c r="N11" s="1">
        <v>12</v>
      </c>
      <c r="O11" s="1">
        <v>3</v>
      </c>
      <c r="R11" s="1" t="s">
        <v>670</v>
      </c>
      <c r="S11" s="1">
        <v>44</v>
      </c>
    </row>
    <row r="12" spans="1:20" x14ac:dyDescent="0.25">
      <c r="A12" s="1">
        <v>11</v>
      </c>
      <c r="B12" s="1" t="s">
        <v>44</v>
      </c>
      <c r="C12" s="1" t="s">
        <v>58</v>
      </c>
      <c r="D12" s="8">
        <v>13694352</v>
      </c>
      <c r="E12" s="13" t="s">
        <v>425</v>
      </c>
      <c r="F12" s="1">
        <v>2006</v>
      </c>
      <c r="G12" s="1" t="s">
        <v>426</v>
      </c>
      <c r="H12" s="7">
        <v>39673</v>
      </c>
      <c r="I12" s="1" t="s">
        <v>411</v>
      </c>
      <c r="J12" s="1" t="s">
        <v>427</v>
      </c>
      <c r="O12" s="1">
        <v>12</v>
      </c>
      <c r="R12" s="1" t="s">
        <v>675</v>
      </c>
      <c r="S12" s="1">
        <v>17</v>
      </c>
    </row>
    <row r="13" spans="1:20" x14ac:dyDescent="0.25">
      <c r="A13" s="1">
        <v>12</v>
      </c>
      <c r="B13" s="1" t="s">
        <v>45</v>
      </c>
      <c r="C13" s="1" t="s">
        <v>59</v>
      </c>
      <c r="D13" s="8">
        <v>4761905</v>
      </c>
      <c r="E13" s="13" t="s">
        <v>428</v>
      </c>
      <c r="G13" s="1" t="s">
        <v>408</v>
      </c>
      <c r="H13" s="7">
        <v>42195</v>
      </c>
      <c r="I13" s="1" t="s">
        <v>418</v>
      </c>
      <c r="O13" s="1">
        <v>12</v>
      </c>
      <c r="R13" s="1" t="s">
        <v>673</v>
      </c>
      <c r="S13" s="1">
        <v>6</v>
      </c>
    </row>
    <row r="14" spans="1:20" x14ac:dyDescent="0.25">
      <c r="A14" s="1">
        <v>13</v>
      </c>
      <c r="B14" s="1" t="s">
        <v>46</v>
      </c>
      <c r="C14" s="1" t="s">
        <v>60</v>
      </c>
      <c r="D14" s="8">
        <v>63000000</v>
      </c>
      <c r="E14" s="13" t="s">
        <v>429</v>
      </c>
      <c r="G14" s="1" t="s">
        <v>430</v>
      </c>
      <c r="H14" s="7">
        <v>41803</v>
      </c>
      <c r="I14" s="1" t="s">
        <v>418</v>
      </c>
      <c r="J14" s="1" t="s">
        <v>431</v>
      </c>
      <c r="N14" s="1">
        <v>12</v>
      </c>
      <c r="Q14" s="1" t="s">
        <v>669</v>
      </c>
      <c r="R14" s="1" t="s">
        <v>673</v>
      </c>
      <c r="S14" s="1">
        <v>29</v>
      </c>
    </row>
    <row r="15" spans="1:20" x14ac:dyDescent="0.25">
      <c r="A15" s="1">
        <v>14</v>
      </c>
      <c r="B15" s="1" t="s">
        <v>770</v>
      </c>
      <c r="C15" s="1" t="s">
        <v>771</v>
      </c>
      <c r="D15" s="8">
        <v>40738500</v>
      </c>
      <c r="E15" s="13" t="s">
        <v>775</v>
      </c>
      <c r="F15" s="1">
        <v>2014</v>
      </c>
      <c r="G15" s="1" t="s">
        <v>772</v>
      </c>
      <c r="H15" s="7">
        <v>41928</v>
      </c>
      <c r="I15" s="1" t="s">
        <v>541</v>
      </c>
      <c r="J15" s="1" t="s">
        <v>773</v>
      </c>
      <c r="O15" s="1">
        <v>12</v>
      </c>
      <c r="R15" s="1" t="s">
        <v>679</v>
      </c>
    </row>
    <row r="16" spans="1:20" x14ac:dyDescent="0.25">
      <c r="A16" s="1">
        <v>15</v>
      </c>
      <c r="B16" s="1" t="s">
        <v>47</v>
      </c>
      <c r="C16" s="1" t="s">
        <v>61</v>
      </c>
      <c r="D16" s="8">
        <v>24873429</v>
      </c>
      <c r="E16" s="13" t="s">
        <v>432</v>
      </c>
      <c r="G16" s="1" t="s">
        <v>433</v>
      </c>
      <c r="H16" s="7">
        <v>37397</v>
      </c>
      <c r="I16" s="1" t="s">
        <v>402</v>
      </c>
      <c r="J16" s="1" t="s">
        <v>434</v>
      </c>
      <c r="O16" s="1">
        <v>12</v>
      </c>
      <c r="R16" s="1" t="s">
        <v>674</v>
      </c>
      <c r="S16" s="1">
        <v>15</v>
      </c>
    </row>
    <row r="17" spans="1:19" x14ac:dyDescent="0.25">
      <c r="A17" s="1">
        <v>16</v>
      </c>
      <c r="B17" s="1" t="s">
        <v>62</v>
      </c>
      <c r="C17" s="1" t="s">
        <v>280</v>
      </c>
      <c r="D17" s="8">
        <v>7969045</v>
      </c>
      <c r="E17" s="13" t="s">
        <v>435</v>
      </c>
      <c r="F17" s="1">
        <v>2001</v>
      </c>
      <c r="G17" s="1" t="s">
        <v>436</v>
      </c>
      <c r="H17" s="7">
        <v>37415</v>
      </c>
      <c r="I17" s="1" t="s">
        <v>437</v>
      </c>
      <c r="J17" s="1" t="s">
        <v>438</v>
      </c>
      <c r="K17" s="1">
        <v>12</v>
      </c>
      <c r="R17" s="1" t="s">
        <v>671</v>
      </c>
      <c r="S17" s="1">
        <v>28</v>
      </c>
    </row>
    <row r="18" spans="1:19" x14ac:dyDescent="0.25">
      <c r="A18" s="1">
        <v>17</v>
      </c>
      <c r="B18" s="1" t="s">
        <v>63</v>
      </c>
      <c r="C18" s="1" t="s">
        <v>281</v>
      </c>
      <c r="D18" s="8">
        <v>52369416</v>
      </c>
      <c r="E18" s="13" t="s">
        <v>439</v>
      </c>
      <c r="G18" s="1" t="s">
        <v>440</v>
      </c>
      <c r="H18" s="7">
        <v>38048</v>
      </c>
      <c r="I18" s="1" t="s">
        <v>411</v>
      </c>
      <c r="O18" s="1">
        <v>12</v>
      </c>
      <c r="R18" s="1" t="s">
        <v>674</v>
      </c>
      <c r="S18" s="1">
        <v>31</v>
      </c>
    </row>
    <row r="19" spans="1:19" x14ac:dyDescent="0.25">
      <c r="A19" s="1">
        <v>18</v>
      </c>
      <c r="B19" s="1" t="s">
        <v>64</v>
      </c>
      <c r="C19" s="1" t="s">
        <v>282</v>
      </c>
      <c r="D19" s="8">
        <v>13485429</v>
      </c>
      <c r="E19" s="13" t="s">
        <v>441</v>
      </c>
      <c r="F19" s="1">
        <v>1998</v>
      </c>
      <c r="G19" s="1" t="s">
        <v>442</v>
      </c>
      <c r="H19" s="7">
        <v>37989</v>
      </c>
      <c r="I19" s="1" t="s">
        <v>421</v>
      </c>
      <c r="J19" s="1" t="s">
        <v>443</v>
      </c>
      <c r="N19" s="1">
        <v>12</v>
      </c>
      <c r="Q19" s="1" t="s">
        <v>669</v>
      </c>
      <c r="R19" s="1" t="s">
        <v>671</v>
      </c>
      <c r="S19" s="1">
        <v>32</v>
      </c>
    </row>
    <row r="20" spans="1:19" x14ac:dyDescent="0.25">
      <c r="A20" s="1">
        <v>19</v>
      </c>
      <c r="B20" s="1" t="s">
        <v>67</v>
      </c>
      <c r="C20" s="1" t="s">
        <v>283</v>
      </c>
      <c r="D20" s="8"/>
      <c r="E20" s="13" t="s">
        <v>444</v>
      </c>
      <c r="G20" s="1" t="s">
        <v>445</v>
      </c>
      <c r="H20" s="7"/>
      <c r="I20" s="1" t="s">
        <v>418</v>
      </c>
      <c r="O20" s="1">
        <v>12</v>
      </c>
      <c r="R20" s="1" t="s">
        <v>679</v>
      </c>
      <c r="S20" s="1">
        <v>6</v>
      </c>
    </row>
    <row r="21" spans="1:19" x14ac:dyDescent="0.25">
      <c r="A21" s="1">
        <v>20</v>
      </c>
      <c r="B21" s="1" t="s">
        <v>68</v>
      </c>
      <c r="C21" s="1" t="s">
        <v>284</v>
      </c>
      <c r="D21" s="8">
        <v>18636914</v>
      </c>
      <c r="E21" s="13" t="s">
        <v>446</v>
      </c>
      <c r="F21" s="1">
        <v>2002</v>
      </c>
      <c r="G21" s="1" t="s">
        <v>442</v>
      </c>
      <c r="H21" s="7">
        <v>37989</v>
      </c>
      <c r="I21" s="1" t="s">
        <v>421</v>
      </c>
      <c r="J21" s="1" t="s">
        <v>447</v>
      </c>
      <c r="N21" s="1">
        <v>12</v>
      </c>
      <c r="Q21" s="1" t="s">
        <v>669</v>
      </c>
      <c r="R21" s="1" t="s">
        <v>673</v>
      </c>
      <c r="S21" s="1">
        <v>32</v>
      </c>
    </row>
    <row r="22" spans="1:19" x14ac:dyDescent="0.25">
      <c r="A22" s="1">
        <v>21</v>
      </c>
      <c r="B22" s="1" t="s">
        <v>69</v>
      </c>
      <c r="C22" s="1" t="s">
        <v>285</v>
      </c>
      <c r="D22" s="8">
        <v>244558182</v>
      </c>
      <c r="E22" s="13" t="s">
        <v>448</v>
      </c>
      <c r="G22" s="1" t="s">
        <v>449</v>
      </c>
      <c r="H22" s="7">
        <v>41800</v>
      </c>
      <c r="I22" s="1" t="s">
        <v>402</v>
      </c>
      <c r="J22" s="1" t="s">
        <v>450</v>
      </c>
      <c r="O22" s="1">
        <v>12</v>
      </c>
      <c r="R22" s="1" t="s">
        <v>674</v>
      </c>
      <c r="S22" s="1">
        <v>16</v>
      </c>
    </row>
    <row r="23" spans="1:19" x14ac:dyDescent="0.25">
      <c r="A23" s="1">
        <v>22</v>
      </c>
      <c r="B23" s="1" t="s">
        <v>70</v>
      </c>
      <c r="C23" s="1" t="s">
        <v>286</v>
      </c>
      <c r="D23" s="8">
        <v>59084489</v>
      </c>
      <c r="E23" s="13" t="s">
        <v>451</v>
      </c>
      <c r="F23" s="1">
        <v>2003</v>
      </c>
      <c r="G23" s="1" t="s">
        <v>452</v>
      </c>
      <c r="H23" s="7">
        <v>38080</v>
      </c>
      <c r="I23" s="1" t="s">
        <v>421</v>
      </c>
      <c r="J23" s="1" t="s">
        <v>453</v>
      </c>
      <c r="L23" s="1">
        <v>12</v>
      </c>
      <c r="N23" s="1">
        <v>12</v>
      </c>
      <c r="Q23" s="1" t="s">
        <v>669</v>
      </c>
      <c r="R23" s="1" t="s">
        <v>674</v>
      </c>
      <c r="S23" s="1">
        <v>38</v>
      </c>
    </row>
    <row r="24" spans="1:19" x14ac:dyDescent="0.25">
      <c r="A24" s="1">
        <v>23</v>
      </c>
      <c r="B24" s="1" t="s">
        <v>71</v>
      </c>
      <c r="C24" s="1" t="s">
        <v>287</v>
      </c>
      <c r="D24" s="8">
        <v>60000000</v>
      </c>
      <c r="E24" s="13" t="s">
        <v>454</v>
      </c>
      <c r="F24" s="1">
        <v>2003</v>
      </c>
      <c r="G24" s="1" t="s">
        <v>455</v>
      </c>
      <c r="H24" s="7">
        <v>37981</v>
      </c>
      <c r="I24" s="1" t="s">
        <v>437</v>
      </c>
      <c r="J24" s="1" t="s">
        <v>456</v>
      </c>
      <c r="O24" s="1">
        <v>12</v>
      </c>
      <c r="R24" s="1" t="s">
        <v>676</v>
      </c>
      <c r="S24" s="1">
        <v>36</v>
      </c>
    </row>
    <row r="25" spans="1:19" x14ac:dyDescent="0.25">
      <c r="A25" s="1">
        <v>24</v>
      </c>
      <c r="B25" s="1" t="s">
        <v>72</v>
      </c>
      <c r="C25" s="1" t="s">
        <v>288</v>
      </c>
      <c r="D25" s="8"/>
      <c r="E25" s="13" t="s">
        <v>457</v>
      </c>
      <c r="F25" s="1">
        <v>2003</v>
      </c>
      <c r="G25" s="1" t="s">
        <v>458</v>
      </c>
      <c r="H25" s="7">
        <v>38018</v>
      </c>
      <c r="I25" s="1" t="s">
        <v>418</v>
      </c>
      <c r="J25" s="1" t="s">
        <v>459</v>
      </c>
      <c r="N25" s="1">
        <v>12</v>
      </c>
      <c r="R25" s="1" t="s">
        <v>673</v>
      </c>
      <c r="S25" s="1">
        <v>40</v>
      </c>
    </row>
    <row r="26" spans="1:19" x14ac:dyDescent="0.25">
      <c r="A26" s="1">
        <v>25</v>
      </c>
      <c r="B26" s="1" t="s">
        <v>73</v>
      </c>
      <c r="C26" s="1" t="s">
        <v>289</v>
      </c>
      <c r="D26" s="8">
        <v>50000000</v>
      </c>
      <c r="E26" s="13" t="s">
        <v>460</v>
      </c>
      <c r="G26" s="1" t="s">
        <v>461</v>
      </c>
      <c r="H26" s="7">
        <v>42311</v>
      </c>
      <c r="I26" s="1" t="s">
        <v>398</v>
      </c>
      <c r="J26" s="1" t="s">
        <v>399</v>
      </c>
      <c r="K26" s="1">
        <v>12</v>
      </c>
      <c r="N26" s="1">
        <v>12</v>
      </c>
      <c r="O26" s="1">
        <v>3</v>
      </c>
      <c r="Q26" s="1" t="s">
        <v>669</v>
      </c>
      <c r="R26" s="1" t="s">
        <v>670</v>
      </c>
      <c r="S26" s="1">
        <v>24</v>
      </c>
    </row>
    <row r="27" spans="1:19" x14ac:dyDescent="0.25">
      <c r="A27" s="1">
        <v>26</v>
      </c>
      <c r="B27" s="1" t="s">
        <v>74</v>
      </c>
      <c r="C27" s="1" t="s">
        <v>290</v>
      </c>
      <c r="D27" s="8">
        <v>10000000</v>
      </c>
      <c r="E27" s="13" t="s">
        <v>462</v>
      </c>
      <c r="F27" s="1">
        <v>2003</v>
      </c>
      <c r="G27" s="1" t="s">
        <v>455</v>
      </c>
      <c r="H27" s="7"/>
      <c r="I27" s="1" t="s">
        <v>402</v>
      </c>
      <c r="O27" s="1">
        <v>1</v>
      </c>
      <c r="R27" s="1" t="s">
        <v>675</v>
      </c>
      <c r="S27" s="1">
        <v>9</v>
      </c>
    </row>
    <row r="28" spans="1:19" x14ac:dyDescent="0.25">
      <c r="A28" s="1">
        <v>27</v>
      </c>
      <c r="B28" s="1" t="s">
        <v>75</v>
      </c>
      <c r="C28" s="1" t="s">
        <v>291</v>
      </c>
      <c r="D28" s="8">
        <v>45719700</v>
      </c>
      <c r="E28" s="13" t="s">
        <v>463</v>
      </c>
      <c r="G28" s="1" t="s">
        <v>405</v>
      </c>
      <c r="H28" s="7">
        <v>39085</v>
      </c>
      <c r="I28" s="1" t="s">
        <v>398</v>
      </c>
      <c r="J28" s="1" t="s">
        <v>464</v>
      </c>
      <c r="K28" s="1">
        <v>12</v>
      </c>
      <c r="N28" s="1">
        <v>12</v>
      </c>
      <c r="O28" s="1">
        <v>3</v>
      </c>
      <c r="Q28" s="1" t="s">
        <v>669</v>
      </c>
      <c r="R28" s="1" t="s">
        <v>670</v>
      </c>
      <c r="S28" s="1">
        <v>48</v>
      </c>
    </row>
    <row r="29" spans="1:19" x14ac:dyDescent="0.25">
      <c r="A29" s="1">
        <v>28</v>
      </c>
      <c r="B29" s="1" t="s">
        <v>76</v>
      </c>
      <c r="C29" s="1" t="s">
        <v>292</v>
      </c>
      <c r="D29" s="8"/>
      <c r="E29" s="13" t="s">
        <v>465</v>
      </c>
      <c r="G29" s="1" t="s">
        <v>466</v>
      </c>
      <c r="H29" s="7">
        <v>42005</v>
      </c>
      <c r="I29" s="1" t="s">
        <v>467</v>
      </c>
      <c r="N29" s="1">
        <v>12</v>
      </c>
      <c r="Q29" s="1" t="s">
        <v>669</v>
      </c>
      <c r="R29" s="1" t="s">
        <v>678</v>
      </c>
      <c r="S29" s="1">
        <v>74</v>
      </c>
    </row>
    <row r="30" spans="1:19" x14ac:dyDescent="0.25">
      <c r="A30" s="1">
        <v>29</v>
      </c>
      <c r="B30" s="1" t="s">
        <v>77</v>
      </c>
      <c r="C30" s="1" t="s">
        <v>293</v>
      </c>
      <c r="D30" s="8">
        <v>1052820000</v>
      </c>
      <c r="E30" s="13" t="s">
        <v>468</v>
      </c>
      <c r="F30" s="1">
        <v>2015</v>
      </c>
      <c r="G30" s="1" t="s">
        <v>469</v>
      </c>
      <c r="H30" s="7">
        <v>42296</v>
      </c>
      <c r="I30" s="1" t="s">
        <v>414</v>
      </c>
      <c r="J30" s="1" t="s">
        <v>470</v>
      </c>
      <c r="N30" s="1">
        <v>12</v>
      </c>
      <c r="O30" s="1">
        <v>6</v>
      </c>
      <c r="R30" s="1" t="s">
        <v>671</v>
      </c>
      <c r="S30" s="1">
        <v>49</v>
      </c>
    </row>
    <row r="31" spans="1:19" x14ac:dyDescent="0.25">
      <c r="A31" s="1">
        <v>30</v>
      </c>
      <c r="B31" s="1" t="s">
        <v>78</v>
      </c>
      <c r="C31" s="1" t="s">
        <v>294</v>
      </c>
      <c r="D31" s="8">
        <v>1126730000</v>
      </c>
      <c r="E31" s="13" t="s">
        <v>471</v>
      </c>
      <c r="G31" s="1" t="s">
        <v>472</v>
      </c>
      <c r="H31" s="7">
        <v>42401</v>
      </c>
      <c r="I31" s="1" t="s">
        <v>411</v>
      </c>
      <c r="O31" s="1">
        <v>12</v>
      </c>
      <c r="Q31" s="1" t="s">
        <v>669</v>
      </c>
      <c r="R31" s="1" t="s">
        <v>671</v>
      </c>
      <c r="S31" s="1">
        <v>70</v>
      </c>
    </row>
    <row r="32" spans="1:19" x14ac:dyDescent="0.25">
      <c r="A32" s="1">
        <v>31</v>
      </c>
      <c r="B32" s="1" t="s">
        <v>391</v>
      </c>
      <c r="C32" s="1" t="s">
        <v>295</v>
      </c>
      <c r="D32" s="8">
        <v>24345235</v>
      </c>
      <c r="E32" s="13" t="s">
        <v>473</v>
      </c>
      <c r="F32" s="1">
        <v>2005</v>
      </c>
      <c r="G32" s="1" t="s">
        <v>474</v>
      </c>
      <c r="H32" s="7">
        <v>38479</v>
      </c>
      <c r="I32" s="1" t="s">
        <v>418</v>
      </c>
      <c r="J32" s="1" t="s">
        <v>475</v>
      </c>
      <c r="N32" s="1">
        <v>12</v>
      </c>
      <c r="R32" s="1" t="s">
        <v>673</v>
      </c>
      <c r="S32" s="1">
        <v>52</v>
      </c>
    </row>
    <row r="33" spans="1:19" x14ac:dyDescent="0.25">
      <c r="A33" s="1">
        <v>32</v>
      </c>
      <c r="B33" s="1" t="s">
        <v>79</v>
      </c>
      <c r="C33" s="1" t="s">
        <v>296</v>
      </c>
      <c r="D33" s="8">
        <v>40459067</v>
      </c>
      <c r="E33" s="13" t="s">
        <v>476</v>
      </c>
      <c r="G33" s="1" t="s">
        <v>420</v>
      </c>
      <c r="H33" s="7">
        <v>38548</v>
      </c>
      <c r="I33" s="1" t="s">
        <v>421</v>
      </c>
      <c r="J33" s="1" t="s">
        <v>477</v>
      </c>
      <c r="N33" s="1">
        <v>12</v>
      </c>
      <c r="O33" s="1">
        <v>3</v>
      </c>
      <c r="Q33" s="1" t="s">
        <v>669</v>
      </c>
      <c r="R33" s="1" t="s">
        <v>674</v>
      </c>
      <c r="S33" s="1">
        <v>14</v>
      </c>
    </row>
    <row r="34" spans="1:19" x14ac:dyDescent="0.25">
      <c r="A34" s="1">
        <v>33</v>
      </c>
      <c r="B34" s="1" t="s">
        <v>80</v>
      </c>
      <c r="C34" s="1" t="s">
        <v>297</v>
      </c>
      <c r="D34" s="8"/>
      <c r="E34" s="13" t="s">
        <v>478</v>
      </c>
      <c r="F34" s="1">
        <v>2002</v>
      </c>
      <c r="G34" s="1" t="s">
        <v>479</v>
      </c>
      <c r="H34" s="7">
        <v>38364</v>
      </c>
      <c r="I34" s="1" t="s">
        <v>402</v>
      </c>
      <c r="J34" s="1" t="s">
        <v>480</v>
      </c>
      <c r="O34" s="1">
        <v>12</v>
      </c>
      <c r="R34" s="1" t="s">
        <v>670</v>
      </c>
      <c r="S34" s="1">
        <v>56</v>
      </c>
    </row>
    <row r="35" spans="1:19" x14ac:dyDescent="0.25">
      <c r="A35" s="1">
        <v>34</v>
      </c>
      <c r="B35" s="1" t="s">
        <v>392</v>
      </c>
      <c r="C35" s="1" t="s">
        <v>298</v>
      </c>
      <c r="D35" s="8"/>
      <c r="E35" s="13"/>
      <c r="G35" s="1" t="s">
        <v>481</v>
      </c>
      <c r="H35" s="7"/>
      <c r="I35" s="1" t="s">
        <v>482</v>
      </c>
      <c r="J35" s="1" t="s">
        <v>483</v>
      </c>
      <c r="N35" s="1">
        <v>12</v>
      </c>
      <c r="Q35" s="1" t="s">
        <v>669</v>
      </c>
      <c r="R35" s="1" t="s">
        <v>671</v>
      </c>
      <c r="S35" s="1">
        <v>74</v>
      </c>
    </row>
    <row r="36" spans="1:19" x14ac:dyDescent="0.25">
      <c r="A36" s="1">
        <v>35</v>
      </c>
      <c r="B36" s="1" t="s">
        <v>393</v>
      </c>
      <c r="C36" s="1" t="s">
        <v>299</v>
      </c>
      <c r="D36" s="8">
        <v>145845000</v>
      </c>
      <c r="E36" s="13" t="s">
        <v>484</v>
      </c>
      <c r="G36" s="1" t="s">
        <v>485</v>
      </c>
      <c r="H36" s="7">
        <v>39599</v>
      </c>
      <c r="I36" s="1" t="s">
        <v>486</v>
      </c>
      <c r="J36" s="1" t="s">
        <v>487</v>
      </c>
      <c r="O36" s="1">
        <v>6</v>
      </c>
      <c r="R36" s="1" t="s">
        <v>677</v>
      </c>
      <c r="S36" s="1">
        <v>60</v>
      </c>
    </row>
    <row r="37" spans="1:19" x14ac:dyDescent="0.25">
      <c r="A37" s="1">
        <v>36</v>
      </c>
      <c r="B37" s="1" t="s">
        <v>81</v>
      </c>
      <c r="C37" s="1" t="s">
        <v>300</v>
      </c>
      <c r="D37" s="8">
        <v>621677806</v>
      </c>
      <c r="E37" s="13" t="s">
        <v>488</v>
      </c>
      <c r="F37" s="1">
        <v>2004</v>
      </c>
      <c r="G37" s="1" t="s">
        <v>489</v>
      </c>
      <c r="H37" s="7">
        <v>38915</v>
      </c>
      <c r="I37" s="1" t="s">
        <v>398</v>
      </c>
      <c r="N37" s="1">
        <v>12</v>
      </c>
      <c r="R37" s="1" t="s">
        <v>679</v>
      </c>
      <c r="S37" s="1">
        <v>62</v>
      </c>
    </row>
    <row r="38" spans="1:19" x14ac:dyDescent="0.25">
      <c r="A38" s="1">
        <v>37</v>
      </c>
      <c r="B38" s="1" t="s">
        <v>82</v>
      </c>
      <c r="C38" s="1" t="s">
        <v>301</v>
      </c>
      <c r="D38" s="8"/>
      <c r="E38" s="13" t="s">
        <v>490</v>
      </c>
      <c r="G38" s="1" t="s">
        <v>491</v>
      </c>
      <c r="H38" s="7">
        <v>38915</v>
      </c>
      <c r="I38" s="1" t="s">
        <v>411</v>
      </c>
      <c r="O38" s="1">
        <v>12</v>
      </c>
      <c r="R38" s="1" t="s">
        <v>679</v>
      </c>
      <c r="S38" s="1">
        <v>63</v>
      </c>
    </row>
    <row r="39" spans="1:19" x14ac:dyDescent="0.25">
      <c r="A39" s="1">
        <v>38</v>
      </c>
      <c r="B39" s="1" t="s">
        <v>83</v>
      </c>
      <c r="C39" s="1" t="s">
        <v>708</v>
      </c>
      <c r="D39" s="8"/>
      <c r="E39" s="13"/>
      <c r="H39" s="7"/>
      <c r="O39" s="1">
        <v>12</v>
      </c>
      <c r="R39" s="1" t="s">
        <v>679</v>
      </c>
    </row>
    <row r="40" spans="1:19" x14ac:dyDescent="0.25">
      <c r="A40" s="1">
        <v>39</v>
      </c>
      <c r="B40" s="1" t="s">
        <v>84</v>
      </c>
      <c r="C40" s="1" t="s">
        <v>708</v>
      </c>
      <c r="D40" s="8"/>
      <c r="E40" s="13"/>
      <c r="H40" s="7"/>
      <c r="O40" s="1">
        <v>12</v>
      </c>
      <c r="R40" s="1" t="s">
        <v>679</v>
      </c>
    </row>
    <row r="41" spans="1:19" x14ac:dyDescent="0.25">
      <c r="A41" s="1">
        <v>40</v>
      </c>
      <c r="B41" s="1" t="s">
        <v>85</v>
      </c>
      <c r="C41" s="1" t="s">
        <v>302</v>
      </c>
      <c r="D41" s="8"/>
      <c r="E41" s="13" t="s">
        <v>492</v>
      </c>
      <c r="G41" s="1" t="s">
        <v>493</v>
      </c>
      <c r="H41" s="7"/>
      <c r="I41" s="1" t="s">
        <v>418</v>
      </c>
      <c r="O41" s="1">
        <v>12</v>
      </c>
      <c r="R41" s="1" t="s">
        <v>673</v>
      </c>
      <c r="S41" s="1">
        <v>65</v>
      </c>
    </row>
    <row r="42" spans="1:19" x14ac:dyDescent="0.25">
      <c r="A42" s="1">
        <v>41</v>
      </c>
      <c r="B42" s="1" t="s">
        <v>86</v>
      </c>
      <c r="C42" s="1" t="s">
        <v>303</v>
      </c>
      <c r="D42" s="8">
        <v>16476191</v>
      </c>
      <c r="E42" s="13" t="s">
        <v>494</v>
      </c>
      <c r="G42" s="1" t="s">
        <v>495</v>
      </c>
      <c r="H42" s="7">
        <v>39703</v>
      </c>
      <c r="I42" s="1" t="s">
        <v>402</v>
      </c>
      <c r="N42" s="1">
        <v>12</v>
      </c>
      <c r="O42" s="1">
        <v>6</v>
      </c>
      <c r="R42" s="1" t="s">
        <v>673</v>
      </c>
      <c r="S42" s="1">
        <v>67</v>
      </c>
    </row>
    <row r="43" spans="1:19" x14ac:dyDescent="0.25">
      <c r="A43" s="1">
        <v>42</v>
      </c>
      <c r="B43" s="1" t="s">
        <v>87</v>
      </c>
      <c r="C43" s="1" t="s">
        <v>304</v>
      </c>
      <c r="D43" s="8">
        <v>59072727</v>
      </c>
      <c r="E43" s="13" t="s">
        <v>496</v>
      </c>
      <c r="G43" s="1" t="s">
        <v>497</v>
      </c>
      <c r="H43" s="7">
        <v>40179</v>
      </c>
      <c r="I43" s="1" t="s">
        <v>421</v>
      </c>
      <c r="J43" s="1" t="s">
        <v>498</v>
      </c>
      <c r="O43" s="1">
        <v>12</v>
      </c>
      <c r="R43" s="1" t="s">
        <v>675</v>
      </c>
      <c r="S43" s="1">
        <v>56</v>
      </c>
    </row>
    <row r="44" spans="1:19" x14ac:dyDescent="0.25">
      <c r="A44" s="1">
        <v>43</v>
      </c>
      <c r="B44" s="1" t="s">
        <v>88</v>
      </c>
      <c r="C44" s="1" t="s">
        <v>305</v>
      </c>
      <c r="D44" s="8">
        <v>22372500</v>
      </c>
      <c r="E44" s="13" t="s">
        <v>499</v>
      </c>
      <c r="G44" s="1" t="s">
        <v>497</v>
      </c>
      <c r="H44" s="7">
        <v>40664</v>
      </c>
      <c r="I44" s="1" t="s">
        <v>421</v>
      </c>
      <c r="J44" s="1" t="s">
        <v>500</v>
      </c>
      <c r="N44" s="1">
        <v>12</v>
      </c>
      <c r="Q44" s="1" t="s">
        <v>669</v>
      </c>
      <c r="R44" s="1" t="s">
        <v>671</v>
      </c>
      <c r="S44" s="1">
        <v>68</v>
      </c>
    </row>
    <row r="45" spans="1:19" x14ac:dyDescent="0.25">
      <c r="A45" s="1">
        <v>44</v>
      </c>
      <c r="B45" s="1" t="s">
        <v>89</v>
      </c>
      <c r="C45" s="1" t="s">
        <v>306</v>
      </c>
      <c r="D45" s="8">
        <v>16060909</v>
      </c>
      <c r="E45" s="13" t="s">
        <v>501</v>
      </c>
      <c r="G45" s="1" t="s">
        <v>502</v>
      </c>
      <c r="H45" s="7">
        <v>40569</v>
      </c>
      <c r="I45" s="1" t="s">
        <v>503</v>
      </c>
      <c r="J45" s="1" t="s">
        <v>504</v>
      </c>
      <c r="K45" s="1">
        <v>12</v>
      </c>
      <c r="N45" s="1">
        <v>12</v>
      </c>
      <c r="O45" s="1">
        <v>3</v>
      </c>
      <c r="Q45" s="1" t="s">
        <v>669</v>
      </c>
      <c r="R45" s="1" t="s">
        <v>673</v>
      </c>
      <c r="S45" s="1">
        <v>59</v>
      </c>
    </row>
    <row r="46" spans="1:19" x14ac:dyDescent="0.25">
      <c r="A46" s="1">
        <v>45</v>
      </c>
      <c r="B46" s="1" t="s">
        <v>90</v>
      </c>
      <c r="C46" s="1" t="s">
        <v>307</v>
      </c>
      <c r="D46" s="8">
        <v>907500000</v>
      </c>
      <c r="E46" s="13" t="s">
        <v>505</v>
      </c>
      <c r="G46" s="1" t="s">
        <v>506</v>
      </c>
      <c r="H46" s="7">
        <v>41856</v>
      </c>
      <c r="I46" s="1" t="s">
        <v>411</v>
      </c>
      <c r="J46" s="1" t="s">
        <v>507</v>
      </c>
      <c r="N46" s="1">
        <v>12</v>
      </c>
      <c r="O46" s="1">
        <v>12</v>
      </c>
      <c r="Q46" s="1" t="s">
        <v>669</v>
      </c>
      <c r="R46" s="1" t="s">
        <v>671</v>
      </c>
      <c r="S46" s="1">
        <v>19</v>
      </c>
    </row>
    <row r="47" spans="1:19" x14ac:dyDescent="0.25">
      <c r="A47" s="1">
        <v>46</v>
      </c>
      <c r="B47" s="1" t="s">
        <v>91</v>
      </c>
      <c r="C47" s="1" t="s">
        <v>308</v>
      </c>
      <c r="D47" s="8">
        <v>1257600000</v>
      </c>
      <c r="E47" s="13" t="s">
        <v>508</v>
      </c>
      <c r="G47" s="1" t="s">
        <v>509</v>
      </c>
      <c r="H47" s="7">
        <v>41401</v>
      </c>
      <c r="I47" s="1" t="s">
        <v>411</v>
      </c>
      <c r="J47" s="1" t="s">
        <v>510</v>
      </c>
      <c r="N47" s="1">
        <v>12</v>
      </c>
      <c r="O47" s="1">
        <v>6</v>
      </c>
      <c r="P47" s="1">
        <v>12</v>
      </c>
      <c r="Q47" s="1" t="s">
        <v>669</v>
      </c>
      <c r="R47" s="1" t="s">
        <v>680</v>
      </c>
      <c r="S47" s="1" t="s">
        <v>685</v>
      </c>
    </row>
    <row r="48" spans="1:19" x14ac:dyDescent="0.25">
      <c r="A48" s="1">
        <v>47</v>
      </c>
      <c r="B48" s="1" t="s">
        <v>92</v>
      </c>
      <c r="C48" s="1" t="s">
        <v>309</v>
      </c>
      <c r="D48" s="8"/>
      <c r="E48" s="13" t="s">
        <v>511</v>
      </c>
      <c r="G48" s="1" t="s">
        <v>408</v>
      </c>
      <c r="H48" s="7">
        <v>41456</v>
      </c>
      <c r="I48" s="1" t="s">
        <v>512</v>
      </c>
      <c r="O48" s="1">
        <v>12</v>
      </c>
      <c r="R48" s="1" t="s">
        <v>673</v>
      </c>
      <c r="S48" s="1">
        <v>21</v>
      </c>
    </row>
    <row r="49" spans="1:19" x14ac:dyDescent="0.25">
      <c r="A49" s="1">
        <v>48</v>
      </c>
      <c r="B49" s="1" t="s">
        <v>93</v>
      </c>
      <c r="C49" s="1" t="s">
        <v>310</v>
      </c>
      <c r="D49" s="8"/>
      <c r="E49" s="13" t="s">
        <v>513</v>
      </c>
      <c r="G49" s="1" t="s">
        <v>469</v>
      </c>
      <c r="H49" s="7">
        <v>41518</v>
      </c>
      <c r="I49" s="1" t="s">
        <v>482</v>
      </c>
      <c r="J49" s="1" t="s">
        <v>514</v>
      </c>
      <c r="O49" s="1">
        <v>12</v>
      </c>
      <c r="R49" s="1" t="s">
        <v>681</v>
      </c>
      <c r="S49" s="1">
        <v>7</v>
      </c>
    </row>
    <row r="50" spans="1:19" x14ac:dyDescent="0.25">
      <c r="A50" s="1">
        <v>49</v>
      </c>
      <c r="B50" s="1" t="s">
        <v>94</v>
      </c>
      <c r="C50" s="1" t="s">
        <v>311</v>
      </c>
      <c r="D50" s="8">
        <v>45175455</v>
      </c>
      <c r="E50" s="13" t="s">
        <v>515</v>
      </c>
      <c r="F50" s="1">
        <v>2015</v>
      </c>
      <c r="G50" s="1" t="s">
        <v>516</v>
      </c>
      <c r="H50" s="7">
        <v>42464</v>
      </c>
      <c r="I50" s="1" t="s">
        <v>402</v>
      </c>
      <c r="J50" s="1" t="s">
        <v>517</v>
      </c>
      <c r="N50" s="1">
        <v>12</v>
      </c>
      <c r="O50" s="1">
        <v>6</v>
      </c>
      <c r="Q50" s="1" t="s">
        <v>669</v>
      </c>
      <c r="R50" s="1" t="s">
        <v>680</v>
      </c>
      <c r="S50" s="1">
        <v>71</v>
      </c>
    </row>
    <row r="51" spans="1:19" x14ac:dyDescent="0.25">
      <c r="A51" s="1">
        <v>50</v>
      </c>
      <c r="B51" s="1" t="s">
        <v>95</v>
      </c>
      <c r="C51" s="1" t="s">
        <v>312</v>
      </c>
      <c r="D51" s="8">
        <v>38863636</v>
      </c>
      <c r="E51" s="13" t="s">
        <v>518</v>
      </c>
      <c r="F51" s="1">
        <v>2015</v>
      </c>
      <c r="G51" s="1" t="s">
        <v>516</v>
      </c>
      <c r="H51" s="7">
        <v>42464</v>
      </c>
      <c r="I51" s="1" t="s">
        <v>402</v>
      </c>
      <c r="J51" s="1" t="s">
        <v>519</v>
      </c>
      <c r="N51" s="1">
        <v>12</v>
      </c>
      <c r="O51" s="1">
        <v>6</v>
      </c>
      <c r="R51" s="1" t="s">
        <v>680</v>
      </c>
      <c r="S51" s="1">
        <v>71</v>
      </c>
    </row>
    <row r="52" spans="1:19" x14ac:dyDescent="0.25">
      <c r="A52" s="1">
        <v>51</v>
      </c>
      <c r="B52" s="1" t="s">
        <v>96</v>
      </c>
      <c r="C52" s="1" t="s">
        <v>313</v>
      </c>
      <c r="D52" s="8">
        <v>20000000</v>
      </c>
      <c r="E52" s="13" t="s">
        <v>520</v>
      </c>
      <c r="F52" s="1">
        <v>2014</v>
      </c>
      <c r="G52" s="1" t="s">
        <v>521</v>
      </c>
      <c r="H52" s="7">
        <v>42373</v>
      </c>
      <c r="I52" s="1" t="s">
        <v>522</v>
      </c>
      <c r="J52" s="1" t="s">
        <v>523</v>
      </c>
      <c r="K52" s="1">
        <v>12</v>
      </c>
      <c r="N52" s="1">
        <v>12</v>
      </c>
      <c r="O52" s="1">
        <v>3</v>
      </c>
      <c r="Q52" s="1" t="s">
        <v>669</v>
      </c>
      <c r="R52" s="1" t="s">
        <v>673</v>
      </c>
      <c r="S52" s="1">
        <v>44</v>
      </c>
    </row>
    <row r="53" spans="1:19" x14ac:dyDescent="0.25">
      <c r="A53" s="1">
        <v>52</v>
      </c>
      <c r="B53" s="1" t="s">
        <v>97</v>
      </c>
      <c r="C53" s="1" t="s">
        <v>314</v>
      </c>
      <c r="D53" s="8">
        <v>1109000000</v>
      </c>
      <c r="E53" s="13" t="s">
        <v>524</v>
      </c>
      <c r="G53" s="1" t="s">
        <v>525</v>
      </c>
      <c r="H53" s="7">
        <v>42005</v>
      </c>
      <c r="I53" s="1" t="s">
        <v>526</v>
      </c>
      <c r="J53" s="1" t="s">
        <v>527</v>
      </c>
      <c r="N53" s="1">
        <v>12</v>
      </c>
      <c r="O53" s="1">
        <v>6</v>
      </c>
      <c r="P53" s="1">
        <v>12</v>
      </c>
      <c r="Q53" s="1" t="s">
        <v>669</v>
      </c>
      <c r="R53" s="1" t="s">
        <v>680</v>
      </c>
      <c r="S53" s="1">
        <v>80</v>
      </c>
    </row>
    <row r="54" spans="1:19" x14ac:dyDescent="0.25">
      <c r="A54" s="1">
        <v>53</v>
      </c>
      <c r="B54" s="1" t="s">
        <v>98</v>
      </c>
      <c r="C54" s="1" t="s">
        <v>315</v>
      </c>
      <c r="D54" s="8">
        <v>422463000</v>
      </c>
      <c r="E54" s="13" t="s">
        <v>528</v>
      </c>
      <c r="F54" s="1">
        <v>2016</v>
      </c>
      <c r="G54" s="1" t="s">
        <v>529</v>
      </c>
      <c r="H54" s="7">
        <v>42632</v>
      </c>
      <c r="I54" s="1" t="s">
        <v>530</v>
      </c>
      <c r="J54" s="1" t="s">
        <v>531</v>
      </c>
      <c r="N54" s="1">
        <v>12</v>
      </c>
      <c r="O54" s="1">
        <v>6</v>
      </c>
      <c r="Q54" s="1" t="s">
        <v>669</v>
      </c>
      <c r="R54" s="1" t="s">
        <v>675</v>
      </c>
      <c r="S54" s="1">
        <v>71</v>
      </c>
    </row>
    <row r="55" spans="1:19" x14ac:dyDescent="0.25">
      <c r="A55" s="1">
        <v>54</v>
      </c>
      <c r="B55" s="1" t="s">
        <v>99</v>
      </c>
      <c r="C55" s="1" t="s">
        <v>316</v>
      </c>
      <c r="D55" s="8">
        <v>4000000</v>
      </c>
      <c r="E55" s="13" t="s">
        <v>532</v>
      </c>
      <c r="G55" s="1" t="s">
        <v>533</v>
      </c>
      <c r="H55" s="7">
        <v>42491</v>
      </c>
      <c r="I55" s="1" t="s">
        <v>421</v>
      </c>
      <c r="J55" s="1" t="s">
        <v>534</v>
      </c>
      <c r="O55" s="1">
        <v>12</v>
      </c>
      <c r="R55" s="1" t="s">
        <v>676</v>
      </c>
      <c r="S55" s="1">
        <v>6</v>
      </c>
    </row>
    <row r="56" spans="1:19" x14ac:dyDescent="0.25">
      <c r="A56" s="1">
        <v>55</v>
      </c>
      <c r="B56" s="1" t="s">
        <v>100</v>
      </c>
      <c r="C56" s="1" t="s">
        <v>317</v>
      </c>
      <c r="D56" s="8">
        <v>19668182</v>
      </c>
      <c r="E56" s="13" t="s">
        <v>535</v>
      </c>
      <c r="G56" s="1" t="s">
        <v>536</v>
      </c>
      <c r="H56" s="7">
        <v>42971</v>
      </c>
      <c r="I56" s="1" t="s">
        <v>398</v>
      </c>
      <c r="J56" s="1" t="s">
        <v>537</v>
      </c>
      <c r="O56" s="1">
        <v>12</v>
      </c>
      <c r="Q56" s="1" t="s">
        <v>669</v>
      </c>
      <c r="R56" s="1" t="s">
        <v>682</v>
      </c>
      <c r="S56" s="1">
        <v>75</v>
      </c>
    </row>
    <row r="57" spans="1:19" x14ac:dyDescent="0.25">
      <c r="A57" s="1">
        <v>56</v>
      </c>
      <c r="B57" s="1" t="s">
        <v>101</v>
      </c>
      <c r="C57" s="1" t="s">
        <v>318</v>
      </c>
      <c r="D57" s="8">
        <v>504545455</v>
      </c>
      <c r="E57" s="13" t="s">
        <v>538</v>
      </c>
      <c r="F57" s="1">
        <v>2017</v>
      </c>
      <c r="G57" s="1" t="s">
        <v>525</v>
      </c>
      <c r="H57" s="7">
        <v>43066</v>
      </c>
      <c r="I57" s="1" t="s">
        <v>411</v>
      </c>
      <c r="J57" s="1" t="s">
        <v>539</v>
      </c>
      <c r="N57" s="1">
        <v>12</v>
      </c>
      <c r="O57" s="1">
        <v>6</v>
      </c>
      <c r="Q57" s="1" t="s">
        <v>669</v>
      </c>
      <c r="R57" s="1" t="s">
        <v>671</v>
      </c>
      <c r="S57" s="1">
        <v>76</v>
      </c>
    </row>
    <row r="58" spans="1:19" x14ac:dyDescent="0.25">
      <c r="A58" s="1">
        <v>57</v>
      </c>
      <c r="B58" s="1" t="s">
        <v>102</v>
      </c>
      <c r="C58" s="1" t="s">
        <v>319</v>
      </c>
      <c r="D58" s="8"/>
      <c r="E58" s="13" t="s">
        <v>540</v>
      </c>
      <c r="G58" s="1" t="s">
        <v>485</v>
      </c>
      <c r="H58" s="7">
        <v>43134</v>
      </c>
      <c r="I58" s="1" t="s">
        <v>402</v>
      </c>
      <c r="O58" s="1">
        <v>3</v>
      </c>
      <c r="R58" s="1" t="s">
        <v>674</v>
      </c>
      <c r="S58" s="1">
        <v>77</v>
      </c>
    </row>
    <row r="59" spans="1:19" x14ac:dyDescent="0.25">
      <c r="A59" s="1">
        <v>58</v>
      </c>
      <c r="B59" s="1" t="s">
        <v>103</v>
      </c>
      <c r="C59" s="1" t="s">
        <v>320</v>
      </c>
      <c r="D59" s="8"/>
      <c r="E59" s="13" t="s">
        <v>540</v>
      </c>
      <c r="G59" s="1" t="s">
        <v>485</v>
      </c>
      <c r="H59" s="7">
        <v>43134</v>
      </c>
      <c r="I59" s="1" t="s">
        <v>541</v>
      </c>
      <c r="O59" s="1">
        <v>3</v>
      </c>
      <c r="R59" s="1" t="s">
        <v>674</v>
      </c>
      <c r="S59" s="1">
        <v>77</v>
      </c>
    </row>
    <row r="60" spans="1:19" x14ac:dyDescent="0.25">
      <c r="A60" s="1">
        <v>59</v>
      </c>
      <c r="B60" s="1" t="s">
        <v>104</v>
      </c>
      <c r="C60" s="1" t="s">
        <v>321</v>
      </c>
      <c r="D60" s="8">
        <v>11454545</v>
      </c>
      <c r="E60" s="13" t="s">
        <v>542</v>
      </c>
      <c r="G60" s="1" t="s">
        <v>408</v>
      </c>
      <c r="H60" s="7">
        <v>43180</v>
      </c>
      <c r="I60" s="1" t="s">
        <v>402</v>
      </c>
      <c r="J60" s="1" t="s">
        <v>543</v>
      </c>
      <c r="N60" s="1">
        <v>12</v>
      </c>
      <c r="R60" s="1" t="s">
        <v>679</v>
      </c>
      <c r="S60" s="1">
        <v>78</v>
      </c>
    </row>
    <row r="61" spans="1:19" x14ac:dyDescent="0.25">
      <c r="A61" s="1">
        <v>60</v>
      </c>
      <c r="B61" s="1" t="s">
        <v>105</v>
      </c>
      <c r="C61" s="1" t="s">
        <v>60</v>
      </c>
      <c r="D61" s="8">
        <v>71974100</v>
      </c>
      <c r="E61" s="13" t="s">
        <v>544</v>
      </c>
      <c r="G61" s="1" t="s">
        <v>430</v>
      </c>
      <c r="H61" s="7">
        <v>43251</v>
      </c>
      <c r="I61" s="1" t="s">
        <v>418</v>
      </c>
      <c r="J61" s="1" t="s">
        <v>431</v>
      </c>
      <c r="N61" s="1">
        <v>12</v>
      </c>
      <c r="Q61" s="1" t="s">
        <v>669</v>
      </c>
      <c r="R61" s="1" t="s">
        <v>673</v>
      </c>
      <c r="S61" s="1">
        <v>29</v>
      </c>
    </row>
    <row r="62" spans="1:19" x14ac:dyDescent="0.25">
      <c r="A62" s="1">
        <v>61</v>
      </c>
      <c r="B62" s="1" t="s">
        <v>106</v>
      </c>
      <c r="C62" s="1" t="s">
        <v>322</v>
      </c>
      <c r="D62" s="8">
        <v>3036000</v>
      </c>
      <c r="E62" s="13" t="s">
        <v>545</v>
      </c>
      <c r="G62" s="1" t="s">
        <v>546</v>
      </c>
      <c r="H62" s="7">
        <v>43179</v>
      </c>
      <c r="I62" s="1" t="s">
        <v>421</v>
      </c>
      <c r="J62" s="1" t="s">
        <v>547</v>
      </c>
      <c r="N62" s="1">
        <v>12</v>
      </c>
      <c r="Q62" s="1" t="s">
        <v>669</v>
      </c>
      <c r="R62" s="1" t="s">
        <v>671</v>
      </c>
      <c r="S62" s="1">
        <v>79</v>
      </c>
    </row>
    <row r="63" spans="1:19" x14ac:dyDescent="0.25">
      <c r="A63" s="1">
        <v>62</v>
      </c>
      <c r="B63" s="1" t="s">
        <v>107</v>
      </c>
      <c r="C63" s="1" t="s">
        <v>322</v>
      </c>
      <c r="D63" s="8">
        <v>3036000</v>
      </c>
      <c r="E63" s="13" t="s">
        <v>548</v>
      </c>
      <c r="G63" s="1" t="s">
        <v>546</v>
      </c>
      <c r="H63" s="7">
        <v>43179</v>
      </c>
      <c r="I63" s="1" t="s">
        <v>418</v>
      </c>
      <c r="J63" s="1" t="s">
        <v>547</v>
      </c>
      <c r="N63" s="1">
        <v>12</v>
      </c>
      <c r="Q63" s="1" t="s">
        <v>669</v>
      </c>
      <c r="R63" s="1" t="s">
        <v>671</v>
      </c>
      <c r="S63" s="1">
        <v>79</v>
      </c>
    </row>
    <row r="64" spans="1:19" x14ac:dyDescent="0.25">
      <c r="A64" s="1">
        <v>63</v>
      </c>
      <c r="B64" s="1" t="s">
        <v>108</v>
      </c>
      <c r="C64" s="1" t="s">
        <v>323</v>
      </c>
      <c r="D64" s="8">
        <v>858000</v>
      </c>
      <c r="E64" s="13"/>
      <c r="G64" s="1" t="s">
        <v>546</v>
      </c>
      <c r="H64" s="7">
        <v>43179</v>
      </c>
      <c r="I64" s="1" t="s">
        <v>418</v>
      </c>
      <c r="J64" s="1" t="s">
        <v>549</v>
      </c>
      <c r="N64" s="1">
        <v>12</v>
      </c>
      <c r="Q64" s="1" t="s">
        <v>669</v>
      </c>
      <c r="R64" s="1" t="s">
        <v>671</v>
      </c>
      <c r="S64" s="1">
        <v>79</v>
      </c>
    </row>
    <row r="65" spans="1:19" x14ac:dyDescent="0.25">
      <c r="A65" s="1">
        <v>64</v>
      </c>
      <c r="B65" s="1" t="s">
        <v>109</v>
      </c>
      <c r="C65" s="1" t="s">
        <v>323</v>
      </c>
      <c r="D65" s="8">
        <v>858000</v>
      </c>
      <c r="E65" s="13"/>
      <c r="G65" s="1" t="s">
        <v>546</v>
      </c>
      <c r="H65" s="7">
        <v>43179</v>
      </c>
      <c r="I65" s="1" t="s">
        <v>421</v>
      </c>
      <c r="J65" s="1" t="s">
        <v>547</v>
      </c>
      <c r="N65" s="1">
        <v>12</v>
      </c>
      <c r="Q65" s="1" t="s">
        <v>669</v>
      </c>
      <c r="R65" s="1" t="s">
        <v>671</v>
      </c>
      <c r="S65" s="1">
        <v>79</v>
      </c>
    </row>
    <row r="66" spans="1:19" x14ac:dyDescent="0.25">
      <c r="A66" s="1">
        <v>65</v>
      </c>
      <c r="B66" s="1" t="s">
        <v>110</v>
      </c>
      <c r="C66" s="1" t="s">
        <v>324</v>
      </c>
      <c r="D66" s="8">
        <v>880000</v>
      </c>
      <c r="E66" s="13"/>
      <c r="G66" s="1" t="s">
        <v>550</v>
      </c>
      <c r="H66" s="7">
        <v>43179</v>
      </c>
      <c r="I66" s="1" t="s">
        <v>418</v>
      </c>
      <c r="J66" s="1" t="s">
        <v>551</v>
      </c>
      <c r="N66" s="1">
        <v>12</v>
      </c>
      <c r="Q66" s="1" t="s">
        <v>669</v>
      </c>
      <c r="R66" s="1" t="s">
        <v>673</v>
      </c>
      <c r="S66" s="1">
        <v>74</v>
      </c>
    </row>
    <row r="67" spans="1:19" x14ac:dyDescent="0.25">
      <c r="A67" s="1">
        <v>66</v>
      </c>
      <c r="B67" s="1" t="s">
        <v>111</v>
      </c>
      <c r="C67" s="1" t="s">
        <v>325</v>
      </c>
      <c r="D67" s="8"/>
      <c r="E67" s="13"/>
      <c r="G67" s="1" t="s">
        <v>552</v>
      </c>
      <c r="H67" s="7"/>
      <c r="I67" s="1" t="s">
        <v>467</v>
      </c>
      <c r="J67" s="1" t="s">
        <v>553</v>
      </c>
      <c r="N67" s="1">
        <v>12</v>
      </c>
      <c r="Q67" s="1" t="s">
        <v>669</v>
      </c>
      <c r="R67" s="1" t="s">
        <v>678</v>
      </c>
      <c r="S67" s="1">
        <v>74</v>
      </c>
    </row>
    <row r="68" spans="1:19" x14ac:dyDescent="0.25">
      <c r="A68" s="1">
        <v>67</v>
      </c>
      <c r="B68" s="1" t="s">
        <v>112</v>
      </c>
      <c r="C68" s="1" t="s">
        <v>326</v>
      </c>
      <c r="D68" s="8">
        <v>158000000</v>
      </c>
      <c r="E68" s="13" t="s">
        <v>554</v>
      </c>
      <c r="F68" s="1">
        <v>2019</v>
      </c>
      <c r="G68" s="1" t="s">
        <v>555</v>
      </c>
      <c r="H68" s="7">
        <v>43600</v>
      </c>
      <c r="I68" s="1" t="s">
        <v>402</v>
      </c>
      <c r="J68" s="1" t="s">
        <v>556</v>
      </c>
      <c r="O68" s="1">
        <v>12</v>
      </c>
      <c r="Q68" s="1" t="s">
        <v>669</v>
      </c>
      <c r="R68" s="1" t="s">
        <v>674</v>
      </c>
      <c r="S68" s="1">
        <v>83</v>
      </c>
    </row>
    <row r="69" spans="1:19" x14ac:dyDescent="0.25">
      <c r="A69" s="1">
        <v>68</v>
      </c>
      <c r="B69" s="1" t="s">
        <v>113</v>
      </c>
      <c r="C69" s="1" t="s">
        <v>327</v>
      </c>
      <c r="D69" s="8"/>
      <c r="E69" s="13" t="s">
        <v>557</v>
      </c>
      <c r="G69" s="1" t="s">
        <v>401</v>
      </c>
      <c r="H69" s="7"/>
      <c r="I69" s="1" t="s">
        <v>418</v>
      </c>
      <c r="J69" s="1" t="s">
        <v>558</v>
      </c>
      <c r="N69" s="1">
        <v>6</v>
      </c>
      <c r="Q69" s="1" t="s">
        <v>669</v>
      </c>
      <c r="R69" s="1" t="s">
        <v>673</v>
      </c>
      <c r="S69" s="1" t="s">
        <v>686</v>
      </c>
    </row>
    <row r="70" spans="1:19" x14ac:dyDescent="0.25">
      <c r="A70" s="1">
        <v>69</v>
      </c>
      <c r="B70" s="1" t="s">
        <v>114</v>
      </c>
      <c r="C70" s="1" t="s">
        <v>328</v>
      </c>
      <c r="D70" s="8"/>
      <c r="E70" s="13">
        <v>17512090</v>
      </c>
      <c r="G70" s="1" t="s">
        <v>559</v>
      </c>
      <c r="H70" s="7"/>
      <c r="I70" s="1" t="s">
        <v>418</v>
      </c>
      <c r="J70" s="1" t="s">
        <v>560</v>
      </c>
      <c r="N70" s="1">
        <v>6</v>
      </c>
      <c r="Q70" s="1" t="s">
        <v>669</v>
      </c>
      <c r="R70" s="1" t="s">
        <v>673</v>
      </c>
      <c r="S70" s="1" t="s">
        <v>686</v>
      </c>
    </row>
    <row r="71" spans="1:19" x14ac:dyDescent="0.25">
      <c r="A71" s="1">
        <v>70</v>
      </c>
      <c r="B71" s="1" t="s">
        <v>115</v>
      </c>
      <c r="C71" s="1" t="s">
        <v>328</v>
      </c>
      <c r="D71" s="8"/>
      <c r="E71" s="13" t="s">
        <v>561</v>
      </c>
      <c r="G71" s="1" t="s">
        <v>401</v>
      </c>
      <c r="H71" s="7"/>
      <c r="I71" s="1" t="s">
        <v>418</v>
      </c>
      <c r="J71" s="1" t="s">
        <v>560</v>
      </c>
      <c r="N71" s="1">
        <v>6</v>
      </c>
      <c r="Q71" s="1" t="s">
        <v>669</v>
      </c>
      <c r="R71" s="1" t="s">
        <v>673</v>
      </c>
      <c r="S71" s="1" t="s">
        <v>686</v>
      </c>
    </row>
    <row r="72" spans="1:19" x14ac:dyDescent="0.25">
      <c r="A72" s="1">
        <v>71</v>
      </c>
      <c r="B72" s="1" t="s">
        <v>116</v>
      </c>
      <c r="C72" s="1" t="s">
        <v>51</v>
      </c>
      <c r="D72" s="8"/>
      <c r="E72" s="13" t="s">
        <v>562</v>
      </c>
      <c r="G72" s="1" t="s">
        <v>408</v>
      </c>
      <c r="H72" s="7">
        <v>43668</v>
      </c>
      <c r="I72" s="1" t="s">
        <v>402</v>
      </c>
      <c r="J72" s="1" t="s">
        <v>409</v>
      </c>
      <c r="O72" s="1">
        <v>12</v>
      </c>
      <c r="R72" s="1" t="s">
        <v>679</v>
      </c>
      <c r="S72" s="1">
        <v>83</v>
      </c>
    </row>
    <row r="73" spans="1:19" x14ac:dyDescent="0.25">
      <c r="A73" s="1">
        <v>72</v>
      </c>
      <c r="B73" s="1" t="s">
        <v>117</v>
      </c>
      <c r="C73" s="1" t="s">
        <v>59</v>
      </c>
      <c r="D73" s="8"/>
      <c r="E73" s="13" t="s">
        <v>563</v>
      </c>
      <c r="G73" s="1" t="s">
        <v>408</v>
      </c>
      <c r="H73" s="7">
        <v>43713</v>
      </c>
      <c r="I73" s="1" t="s">
        <v>402</v>
      </c>
      <c r="J73" s="1" t="s">
        <v>564</v>
      </c>
      <c r="O73" s="1">
        <v>12</v>
      </c>
      <c r="R73" s="1" t="s">
        <v>679</v>
      </c>
      <c r="S73" s="1">
        <v>83</v>
      </c>
    </row>
    <row r="74" spans="1:19" x14ac:dyDescent="0.25">
      <c r="A74" s="1">
        <v>73</v>
      </c>
      <c r="B74" s="1" t="s">
        <v>118</v>
      </c>
      <c r="C74" s="1" t="s">
        <v>329</v>
      </c>
      <c r="D74" s="8"/>
      <c r="E74" s="13"/>
      <c r="H74" s="7"/>
      <c r="I74" s="1" t="s">
        <v>565</v>
      </c>
      <c r="J74" s="1" t="s">
        <v>564</v>
      </c>
      <c r="N74" s="1">
        <v>12</v>
      </c>
      <c r="R74" s="1" t="s">
        <v>679</v>
      </c>
      <c r="S74" s="1">
        <v>74</v>
      </c>
    </row>
    <row r="75" spans="1:19" x14ac:dyDescent="0.25">
      <c r="A75" s="1">
        <v>74</v>
      </c>
      <c r="B75" s="1" t="s">
        <v>119</v>
      </c>
      <c r="C75" s="1" t="s">
        <v>329</v>
      </c>
      <c r="D75" s="8"/>
      <c r="E75" s="13"/>
      <c r="H75" s="7"/>
      <c r="I75" s="1" t="s">
        <v>565</v>
      </c>
      <c r="J75" s="1" t="s">
        <v>564</v>
      </c>
      <c r="N75" s="1">
        <v>12</v>
      </c>
      <c r="R75" s="1" t="s">
        <v>679</v>
      </c>
      <c r="S75" s="1">
        <v>74</v>
      </c>
    </row>
    <row r="76" spans="1:19" x14ac:dyDescent="0.25">
      <c r="A76" s="1">
        <v>75</v>
      </c>
      <c r="B76" s="1" t="s">
        <v>120</v>
      </c>
      <c r="C76" s="1" t="s">
        <v>329</v>
      </c>
      <c r="D76" s="8"/>
      <c r="E76" s="13"/>
      <c r="H76" s="7"/>
      <c r="I76" s="1" t="s">
        <v>565</v>
      </c>
      <c r="J76" s="1" t="s">
        <v>564</v>
      </c>
      <c r="N76" s="1">
        <v>12</v>
      </c>
      <c r="R76" s="1" t="s">
        <v>679</v>
      </c>
      <c r="S76" s="1">
        <v>74</v>
      </c>
    </row>
    <row r="77" spans="1:19" x14ac:dyDescent="0.25">
      <c r="A77" s="1">
        <v>76</v>
      </c>
      <c r="B77" s="1" t="s">
        <v>121</v>
      </c>
      <c r="C77" s="1" t="s">
        <v>329</v>
      </c>
      <c r="D77" s="8"/>
      <c r="E77" s="13"/>
      <c r="H77" s="7"/>
      <c r="I77" s="1" t="s">
        <v>565</v>
      </c>
      <c r="J77" s="1" t="s">
        <v>564</v>
      </c>
      <c r="N77" s="1">
        <v>12</v>
      </c>
      <c r="R77" s="1" t="s">
        <v>679</v>
      </c>
      <c r="S77" s="1">
        <v>74</v>
      </c>
    </row>
    <row r="78" spans="1:19" x14ac:dyDescent="0.25">
      <c r="A78" s="1">
        <v>77</v>
      </c>
      <c r="B78" s="1" t="s">
        <v>122</v>
      </c>
      <c r="C78" s="1" t="s">
        <v>330</v>
      </c>
      <c r="D78" s="8">
        <v>1995000000</v>
      </c>
      <c r="E78" s="13" t="s">
        <v>566</v>
      </c>
      <c r="G78" s="1" t="s">
        <v>469</v>
      </c>
      <c r="H78" s="7">
        <v>43819</v>
      </c>
      <c r="I78" s="1" t="s">
        <v>414</v>
      </c>
      <c r="J78" s="1" t="s">
        <v>567</v>
      </c>
      <c r="N78" s="1">
        <v>12</v>
      </c>
      <c r="O78" s="1">
        <v>6</v>
      </c>
      <c r="Q78" s="1" t="s">
        <v>669</v>
      </c>
      <c r="R78" s="1" t="s">
        <v>671</v>
      </c>
      <c r="S78" s="1">
        <v>12</v>
      </c>
    </row>
    <row r="79" spans="1:19" x14ac:dyDescent="0.25">
      <c r="A79" s="1">
        <v>78</v>
      </c>
      <c r="B79" s="1" t="s">
        <v>123</v>
      </c>
      <c r="C79" s="1" t="s">
        <v>323</v>
      </c>
      <c r="D79" s="8"/>
      <c r="E79" s="13"/>
      <c r="G79" s="1" t="s">
        <v>546</v>
      </c>
      <c r="H79" s="7">
        <v>43179</v>
      </c>
      <c r="I79" s="1" t="s">
        <v>421</v>
      </c>
      <c r="J79" s="1" t="s">
        <v>549</v>
      </c>
      <c r="N79" s="1">
        <v>12</v>
      </c>
      <c r="Q79" s="1" t="s">
        <v>669</v>
      </c>
      <c r="R79" s="1" t="s">
        <v>671</v>
      </c>
      <c r="S79" s="1">
        <v>79</v>
      </c>
    </row>
    <row r="80" spans="1:19" x14ac:dyDescent="0.25">
      <c r="A80" s="1">
        <v>79</v>
      </c>
      <c r="B80" s="1" t="s">
        <v>124</v>
      </c>
      <c r="C80" s="1" t="s">
        <v>331</v>
      </c>
      <c r="D80" s="8">
        <v>310200000</v>
      </c>
      <c r="E80" s="13" t="s">
        <v>568</v>
      </c>
      <c r="G80" s="1" t="s">
        <v>569</v>
      </c>
      <c r="H80" s="7">
        <v>42044</v>
      </c>
      <c r="I80" s="1" t="s">
        <v>418</v>
      </c>
      <c r="J80" s="1" t="s">
        <v>570</v>
      </c>
      <c r="N80" s="1">
        <v>12</v>
      </c>
      <c r="Q80" s="1" t="s">
        <v>669</v>
      </c>
      <c r="R80" s="1" t="s">
        <v>673</v>
      </c>
      <c r="S80" s="1">
        <v>85</v>
      </c>
    </row>
    <row r="81" spans="1:19" x14ac:dyDescent="0.25">
      <c r="A81" s="1">
        <v>80</v>
      </c>
      <c r="B81" s="1" t="s">
        <v>125</v>
      </c>
      <c r="C81" s="1" t="s">
        <v>332</v>
      </c>
      <c r="D81" s="8"/>
      <c r="E81" s="13" t="s">
        <v>571</v>
      </c>
      <c r="G81" s="1" t="s">
        <v>401</v>
      </c>
      <c r="H81" s="7"/>
      <c r="I81" s="1" t="s">
        <v>418</v>
      </c>
      <c r="J81" s="1" t="s">
        <v>572</v>
      </c>
      <c r="N81" s="1">
        <v>6</v>
      </c>
      <c r="Q81" s="1" t="s">
        <v>669</v>
      </c>
      <c r="R81" s="1" t="s">
        <v>673</v>
      </c>
      <c r="S81" s="1" t="s">
        <v>686</v>
      </c>
    </row>
    <row r="82" spans="1:19" x14ac:dyDescent="0.25">
      <c r="A82" s="1">
        <v>81</v>
      </c>
      <c r="B82" s="1" t="s">
        <v>126</v>
      </c>
      <c r="C82" s="1" t="s">
        <v>314</v>
      </c>
      <c r="D82" s="8">
        <v>1222000000</v>
      </c>
      <c r="E82" s="13" t="s">
        <v>524</v>
      </c>
      <c r="G82" s="1" t="s">
        <v>525</v>
      </c>
      <c r="H82" s="7">
        <v>44168</v>
      </c>
      <c r="I82" s="1" t="s">
        <v>526</v>
      </c>
      <c r="J82" s="1" t="s">
        <v>527</v>
      </c>
      <c r="N82" s="1">
        <v>12</v>
      </c>
      <c r="O82" s="1">
        <v>6</v>
      </c>
      <c r="P82" s="1">
        <v>12</v>
      </c>
      <c r="Q82" s="1" t="s">
        <v>669</v>
      </c>
      <c r="R82" s="1" t="s">
        <v>671</v>
      </c>
      <c r="S82" s="1">
        <v>61</v>
      </c>
    </row>
    <row r="83" spans="1:19" x14ac:dyDescent="0.25">
      <c r="A83" s="1">
        <v>82</v>
      </c>
      <c r="B83" s="1" t="s">
        <v>127</v>
      </c>
      <c r="C83" s="1" t="s">
        <v>333</v>
      </c>
      <c r="D83" s="8"/>
      <c r="E83" s="13" t="s">
        <v>573</v>
      </c>
      <c r="G83" s="1" t="s">
        <v>574</v>
      </c>
      <c r="H83" s="7"/>
      <c r="I83" s="1" t="s">
        <v>402</v>
      </c>
      <c r="N83" s="1">
        <v>12</v>
      </c>
      <c r="R83" s="1" t="s">
        <v>680</v>
      </c>
      <c r="S83" s="1">
        <v>84</v>
      </c>
    </row>
    <row r="84" spans="1:19" x14ac:dyDescent="0.25">
      <c r="A84" s="1">
        <v>83</v>
      </c>
      <c r="B84" s="1" t="s">
        <v>128</v>
      </c>
      <c r="C84" s="1" t="s">
        <v>334</v>
      </c>
      <c r="D84" s="8">
        <v>1815707000</v>
      </c>
      <c r="E84" s="13" t="s">
        <v>575</v>
      </c>
      <c r="H84" s="7">
        <v>44355</v>
      </c>
      <c r="I84" s="1" t="s">
        <v>526</v>
      </c>
      <c r="J84" s="1" t="s">
        <v>527</v>
      </c>
      <c r="N84" s="1">
        <v>12</v>
      </c>
      <c r="O84" s="1">
        <v>6</v>
      </c>
      <c r="P84" s="1">
        <v>12</v>
      </c>
      <c r="R84" s="1" t="s">
        <v>671</v>
      </c>
      <c r="S84" s="1">
        <v>4</v>
      </c>
    </row>
    <row r="85" spans="1:19" x14ac:dyDescent="0.25">
      <c r="A85" s="1">
        <v>84</v>
      </c>
      <c r="B85" s="1" t="s">
        <v>129</v>
      </c>
      <c r="C85" s="1" t="s">
        <v>54</v>
      </c>
      <c r="D85" s="8">
        <v>217700000</v>
      </c>
      <c r="E85" s="13" t="s">
        <v>576</v>
      </c>
      <c r="G85" s="1" t="s">
        <v>417</v>
      </c>
      <c r="H85" s="7">
        <v>44368</v>
      </c>
      <c r="I85" s="1" t="s">
        <v>418</v>
      </c>
      <c r="L85" s="1">
        <v>12</v>
      </c>
      <c r="M85" s="1">
        <v>24</v>
      </c>
      <c r="P85" s="1">
        <v>12</v>
      </c>
      <c r="R85" s="1" t="s">
        <v>673</v>
      </c>
      <c r="S85" s="1">
        <v>85</v>
      </c>
    </row>
    <row r="86" spans="1:19" x14ac:dyDescent="0.25">
      <c r="A86" s="1">
        <v>85</v>
      </c>
      <c r="B86" s="1" t="s">
        <v>130</v>
      </c>
      <c r="C86" s="1" t="s">
        <v>335</v>
      </c>
      <c r="D86" s="8">
        <v>589000000</v>
      </c>
      <c r="E86" s="13" t="s">
        <v>577</v>
      </c>
      <c r="G86" s="1" t="s">
        <v>578</v>
      </c>
      <c r="H86" s="7">
        <v>44496</v>
      </c>
      <c r="I86" s="1" t="s">
        <v>411</v>
      </c>
      <c r="J86" s="1" t="s">
        <v>579</v>
      </c>
      <c r="O86" s="1">
        <v>12</v>
      </c>
      <c r="R86" s="1" t="s">
        <v>671</v>
      </c>
      <c r="S86" s="1">
        <v>86</v>
      </c>
    </row>
    <row r="87" spans="1:19" x14ac:dyDescent="0.25">
      <c r="A87" s="1">
        <v>86</v>
      </c>
      <c r="B87" s="1" t="s">
        <v>131</v>
      </c>
      <c r="C87" s="1" t="s">
        <v>336</v>
      </c>
      <c r="D87" s="8"/>
      <c r="E87" s="13" t="s">
        <v>580</v>
      </c>
      <c r="G87" s="1" t="s">
        <v>581</v>
      </c>
      <c r="H87" s="7">
        <v>44355</v>
      </c>
      <c r="I87" s="1" t="s">
        <v>402</v>
      </c>
      <c r="J87" s="1" t="s">
        <v>582</v>
      </c>
      <c r="O87" s="1">
        <v>12</v>
      </c>
      <c r="R87" s="1" t="s">
        <v>679</v>
      </c>
      <c r="S87" s="1">
        <v>51</v>
      </c>
    </row>
    <row r="88" spans="1:19" x14ac:dyDescent="0.25">
      <c r="A88" s="1">
        <v>87</v>
      </c>
      <c r="B88" s="1" t="s">
        <v>132</v>
      </c>
      <c r="C88" s="1" t="s">
        <v>337</v>
      </c>
      <c r="D88" s="8"/>
      <c r="E88" s="13" t="s">
        <v>583</v>
      </c>
      <c r="G88" s="1" t="s">
        <v>581</v>
      </c>
      <c r="H88" s="7">
        <v>44355</v>
      </c>
      <c r="I88" s="1" t="s">
        <v>402</v>
      </c>
      <c r="J88" s="1" t="s">
        <v>584</v>
      </c>
      <c r="O88" s="1">
        <v>12</v>
      </c>
      <c r="R88" s="1" t="s">
        <v>679</v>
      </c>
      <c r="S88" s="1">
        <v>51</v>
      </c>
    </row>
    <row r="89" spans="1:19" x14ac:dyDescent="0.25">
      <c r="A89" s="1">
        <v>88</v>
      </c>
      <c r="B89" s="1" t="s">
        <v>134</v>
      </c>
      <c r="C89" s="1" t="s">
        <v>338</v>
      </c>
      <c r="D89" s="8"/>
      <c r="E89" s="13" t="s">
        <v>585</v>
      </c>
      <c r="G89" s="1" t="s">
        <v>408</v>
      </c>
      <c r="H89" s="7">
        <v>44455</v>
      </c>
      <c r="I89" s="1" t="s">
        <v>402</v>
      </c>
      <c r="J89" s="1" t="s">
        <v>586</v>
      </c>
      <c r="O89" s="1">
        <v>12</v>
      </c>
      <c r="R89" s="1" t="s">
        <v>679</v>
      </c>
      <c r="S89" s="1">
        <v>51</v>
      </c>
    </row>
    <row r="90" spans="1:19" x14ac:dyDescent="0.25">
      <c r="A90" s="1">
        <v>89</v>
      </c>
      <c r="B90" s="1" t="s">
        <v>135</v>
      </c>
      <c r="C90" s="1" t="s">
        <v>339</v>
      </c>
      <c r="D90" s="8">
        <v>70400000</v>
      </c>
      <c r="E90" s="13" t="s">
        <v>587</v>
      </c>
      <c r="G90" s="1" t="s">
        <v>588</v>
      </c>
      <c r="H90" s="7">
        <v>44485</v>
      </c>
      <c r="I90" s="1" t="s">
        <v>398</v>
      </c>
      <c r="O90" s="1">
        <v>12</v>
      </c>
      <c r="R90" s="1" t="s">
        <v>679</v>
      </c>
      <c r="S90" s="1">
        <v>51</v>
      </c>
    </row>
    <row r="91" spans="1:19" x14ac:dyDescent="0.25">
      <c r="A91" s="1">
        <v>90</v>
      </c>
      <c r="B91" s="1" t="s">
        <v>136</v>
      </c>
      <c r="C91" s="1" t="s">
        <v>340</v>
      </c>
      <c r="D91" s="8">
        <v>380800000</v>
      </c>
      <c r="E91" s="13" t="s">
        <v>589</v>
      </c>
      <c r="G91" s="1" t="s">
        <v>590</v>
      </c>
      <c r="H91" s="7">
        <v>44558</v>
      </c>
      <c r="I91" s="1" t="s">
        <v>411</v>
      </c>
      <c r="J91" s="1" t="s">
        <v>591</v>
      </c>
      <c r="N91" s="1">
        <v>12</v>
      </c>
      <c r="O91" s="1">
        <v>12</v>
      </c>
      <c r="Q91" s="1" t="s">
        <v>669</v>
      </c>
      <c r="R91" s="1" t="s">
        <v>671</v>
      </c>
      <c r="S91" s="1">
        <v>57</v>
      </c>
    </row>
    <row r="92" spans="1:19" x14ac:dyDescent="0.25">
      <c r="A92" s="1">
        <v>91</v>
      </c>
      <c r="B92" s="1" t="s">
        <v>137</v>
      </c>
      <c r="C92" s="1" t="s">
        <v>341</v>
      </c>
      <c r="D92" s="8">
        <v>267890000</v>
      </c>
      <c r="E92" s="13" t="s">
        <v>592</v>
      </c>
      <c r="G92" s="1" t="s">
        <v>593</v>
      </c>
      <c r="H92" s="7">
        <v>44588</v>
      </c>
      <c r="I92" s="1" t="s">
        <v>398</v>
      </c>
      <c r="J92" s="1" t="s">
        <v>594</v>
      </c>
      <c r="K92" s="1">
        <v>12</v>
      </c>
      <c r="N92" s="1">
        <v>12</v>
      </c>
      <c r="O92" s="1">
        <v>3</v>
      </c>
      <c r="R92" s="1" t="s">
        <v>682</v>
      </c>
      <c r="S92" s="1">
        <v>82</v>
      </c>
    </row>
    <row r="93" spans="1:19" x14ac:dyDescent="0.25">
      <c r="A93" s="1">
        <v>92</v>
      </c>
      <c r="B93" s="1" t="s">
        <v>139</v>
      </c>
      <c r="C93" s="1" t="s">
        <v>692</v>
      </c>
      <c r="D93" s="8">
        <v>228370000</v>
      </c>
      <c r="E93" s="13" t="s">
        <v>595</v>
      </c>
      <c r="G93" s="1" t="s">
        <v>593</v>
      </c>
      <c r="H93" s="7">
        <v>44588</v>
      </c>
      <c r="I93" s="1" t="s">
        <v>398</v>
      </c>
      <c r="J93" s="1" t="s">
        <v>596</v>
      </c>
      <c r="K93" s="1">
        <v>12</v>
      </c>
      <c r="N93" s="1">
        <v>12</v>
      </c>
      <c r="O93" s="1">
        <v>3</v>
      </c>
      <c r="R93" s="1" t="s">
        <v>682</v>
      </c>
      <c r="S93" s="1">
        <v>82</v>
      </c>
    </row>
    <row r="94" spans="1:19" x14ac:dyDescent="0.25">
      <c r="A94" s="1">
        <v>93</v>
      </c>
      <c r="B94" s="1" t="s">
        <v>138</v>
      </c>
      <c r="C94" s="1" t="s">
        <v>342</v>
      </c>
      <c r="D94" s="8">
        <v>188158000</v>
      </c>
      <c r="E94" s="13" t="s">
        <v>597</v>
      </c>
      <c r="G94" s="1" t="s">
        <v>593</v>
      </c>
      <c r="H94" s="7">
        <v>44588</v>
      </c>
      <c r="I94" s="1" t="s">
        <v>398</v>
      </c>
      <c r="J94" s="1" t="s">
        <v>598</v>
      </c>
      <c r="K94" s="1">
        <v>12</v>
      </c>
      <c r="N94" s="1">
        <v>12</v>
      </c>
      <c r="O94" s="1">
        <v>3</v>
      </c>
      <c r="R94" s="1" t="s">
        <v>682</v>
      </c>
      <c r="S94" s="1">
        <v>82</v>
      </c>
    </row>
    <row r="95" spans="1:19" x14ac:dyDescent="0.25">
      <c r="A95" s="1">
        <v>94</v>
      </c>
      <c r="B95" s="1" t="s">
        <v>140</v>
      </c>
      <c r="C95" s="1" t="s">
        <v>343</v>
      </c>
      <c r="D95" s="8">
        <v>125950000</v>
      </c>
      <c r="E95" s="13" t="s">
        <v>599</v>
      </c>
      <c r="G95" s="1" t="s">
        <v>593</v>
      </c>
      <c r="H95" s="7">
        <v>44588</v>
      </c>
      <c r="I95" s="1" t="s">
        <v>402</v>
      </c>
      <c r="N95" s="1">
        <v>12</v>
      </c>
      <c r="O95" s="1">
        <v>6</v>
      </c>
      <c r="R95" s="1" t="s">
        <v>671</v>
      </c>
      <c r="S95" s="1">
        <v>27</v>
      </c>
    </row>
    <row r="96" spans="1:19" x14ac:dyDescent="0.25">
      <c r="A96" s="1">
        <v>95</v>
      </c>
      <c r="B96" s="1" t="s">
        <v>141</v>
      </c>
      <c r="C96" s="1" t="s">
        <v>344</v>
      </c>
      <c r="D96" s="8">
        <v>87700000</v>
      </c>
      <c r="E96" s="13" t="s">
        <v>600</v>
      </c>
      <c r="G96" s="1" t="s">
        <v>601</v>
      </c>
      <c r="H96" s="7">
        <v>44571</v>
      </c>
      <c r="I96" s="1" t="s">
        <v>414</v>
      </c>
      <c r="J96" s="1" t="s">
        <v>602</v>
      </c>
      <c r="O96" s="1">
        <v>6</v>
      </c>
      <c r="R96" s="1" t="s">
        <v>682</v>
      </c>
      <c r="S96" s="1">
        <v>39</v>
      </c>
    </row>
    <row r="97" spans="1:19" x14ac:dyDescent="0.25">
      <c r="A97" s="1">
        <v>96</v>
      </c>
      <c r="B97" s="1" t="s">
        <v>142</v>
      </c>
      <c r="C97" s="1" t="s">
        <v>345</v>
      </c>
      <c r="D97" s="8">
        <v>657800000</v>
      </c>
      <c r="E97" s="13" t="s">
        <v>603</v>
      </c>
      <c r="G97" s="1" t="s">
        <v>604</v>
      </c>
      <c r="H97" s="7">
        <v>44607</v>
      </c>
      <c r="I97" s="1" t="s">
        <v>605</v>
      </c>
      <c r="J97" s="1" t="s">
        <v>606</v>
      </c>
      <c r="N97" s="1">
        <v>12</v>
      </c>
      <c r="O97" s="1">
        <v>3</v>
      </c>
      <c r="R97" s="1" t="s">
        <v>683</v>
      </c>
      <c r="S97" s="1">
        <v>30</v>
      </c>
    </row>
    <row r="98" spans="1:19" x14ac:dyDescent="0.25">
      <c r="A98" s="1">
        <v>97</v>
      </c>
      <c r="B98" s="1" t="s">
        <v>143</v>
      </c>
      <c r="C98" s="1" t="s">
        <v>346</v>
      </c>
      <c r="D98" s="8">
        <v>546700000</v>
      </c>
      <c r="E98" s="13" t="s">
        <v>607</v>
      </c>
      <c r="G98" s="1" t="s">
        <v>608</v>
      </c>
      <c r="H98" s="7">
        <v>44571</v>
      </c>
      <c r="I98" s="1" t="s">
        <v>414</v>
      </c>
      <c r="J98" s="1" t="s">
        <v>609</v>
      </c>
      <c r="O98" s="1">
        <v>6</v>
      </c>
      <c r="R98" s="1" t="s">
        <v>682</v>
      </c>
      <c r="S98" s="1">
        <v>39</v>
      </c>
    </row>
    <row r="99" spans="1:19" x14ac:dyDescent="0.25">
      <c r="A99" s="1">
        <v>98</v>
      </c>
      <c r="B99" s="1" t="s">
        <v>144</v>
      </c>
      <c r="C99" s="1" t="s">
        <v>347</v>
      </c>
      <c r="D99" s="8">
        <v>326160000</v>
      </c>
      <c r="E99" s="13"/>
      <c r="H99" s="7"/>
      <c r="I99" s="1" t="s">
        <v>418</v>
      </c>
      <c r="P99" s="1">
        <v>6</v>
      </c>
      <c r="Q99" s="1" t="s">
        <v>669</v>
      </c>
      <c r="R99" s="1" t="s">
        <v>673</v>
      </c>
      <c r="S99" s="1">
        <v>90</v>
      </c>
    </row>
    <row r="100" spans="1:19" x14ac:dyDescent="0.25">
      <c r="A100" s="1">
        <v>99</v>
      </c>
      <c r="B100" s="1" t="s">
        <v>145</v>
      </c>
      <c r="C100" s="1" t="s">
        <v>348</v>
      </c>
      <c r="D100" s="8">
        <v>220000000</v>
      </c>
      <c r="E100" s="13" t="s">
        <v>610</v>
      </c>
      <c r="H100" s="7"/>
      <c r="I100" s="1" t="s">
        <v>418</v>
      </c>
      <c r="P100" s="1">
        <v>6</v>
      </c>
      <c r="Q100" s="1" t="s">
        <v>669</v>
      </c>
      <c r="R100" s="1" t="s">
        <v>673</v>
      </c>
      <c r="S100" s="1">
        <v>90</v>
      </c>
    </row>
    <row r="101" spans="1:19" x14ac:dyDescent="0.25">
      <c r="A101" s="1">
        <v>100</v>
      </c>
      <c r="B101" s="1" t="s">
        <v>146</v>
      </c>
      <c r="C101" s="1" t="s">
        <v>349</v>
      </c>
      <c r="D101" s="8">
        <v>220032000</v>
      </c>
      <c r="E101" s="13" t="s">
        <v>611</v>
      </c>
      <c r="H101" s="7"/>
      <c r="I101" s="1" t="s">
        <v>418</v>
      </c>
      <c r="N101" s="1">
        <v>12</v>
      </c>
      <c r="Q101" s="1" t="s">
        <v>669</v>
      </c>
      <c r="R101" s="1" t="s">
        <v>673</v>
      </c>
      <c r="S101" s="1">
        <v>91</v>
      </c>
    </row>
    <row r="102" spans="1:19" x14ac:dyDescent="0.25">
      <c r="A102" s="1">
        <v>101</v>
      </c>
      <c r="B102" s="1" t="s">
        <v>147</v>
      </c>
      <c r="C102" s="1" t="s">
        <v>350</v>
      </c>
      <c r="D102" s="8">
        <v>248832000</v>
      </c>
      <c r="E102" s="13" t="s">
        <v>612</v>
      </c>
      <c r="H102" s="7"/>
      <c r="I102" s="1" t="s">
        <v>421</v>
      </c>
      <c r="N102" s="1">
        <v>12</v>
      </c>
      <c r="Q102" s="1" t="s">
        <v>669</v>
      </c>
      <c r="R102" s="1" t="s">
        <v>674</v>
      </c>
      <c r="S102" s="1">
        <v>30</v>
      </c>
    </row>
    <row r="103" spans="1:19" x14ac:dyDescent="0.25">
      <c r="A103" s="1">
        <v>102</v>
      </c>
      <c r="B103" s="1" t="s">
        <v>151</v>
      </c>
      <c r="C103" s="1" t="s">
        <v>351</v>
      </c>
      <c r="D103" s="8"/>
      <c r="E103" s="13"/>
      <c r="H103" s="7"/>
      <c r="I103" s="1" t="s">
        <v>402</v>
      </c>
      <c r="N103" s="1">
        <v>12</v>
      </c>
      <c r="Q103" s="1" t="s">
        <v>669</v>
      </c>
      <c r="R103" s="1" t="s">
        <v>674</v>
      </c>
      <c r="S103" s="1">
        <v>92</v>
      </c>
    </row>
    <row r="104" spans="1:19" x14ac:dyDescent="0.25">
      <c r="A104" s="1">
        <v>103</v>
      </c>
      <c r="B104" s="1" t="s">
        <v>152</v>
      </c>
      <c r="C104" s="1" t="s">
        <v>351</v>
      </c>
      <c r="D104" s="8"/>
      <c r="E104" s="13"/>
      <c r="H104" s="7"/>
      <c r="I104" s="1" t="s">
        <v>482</v>
      </c>
      <c r="N104" s="1">
        <v>12</v>
      </c>
      <c r="Q104" s="1" t="s">
        <v>669</v>
      </c>
      <c r="R104" s="1" t="s">
        <v>674</v>
      </c>
      <c r="S104" s="1">
        <v>92</v>
      </c>
    </row>
    <row r="105" spans="1:19" x14ac:dyDescent="0.25">
      <c r="A105" s="1">
        <v>104</v>
      </c>
      <c r="B105" s="1" t="s">
        <v>153</v>
      </c>
      <c r="C105" s="1" t="s">
        <v>352</v>
      </c>
      <c r="D105" s="8">
        <v>2079000000</v>
      </c>
      <c r="E105" s="13"/>
      <c r="H105" s="7"/>
      <c r="I105" s="1" t="s">
        <v>526</v>
      </c>
      <c r="N105" s="1">
        <v>12</v>
      </c>
      <c r="O105" s="1">
        <v>6</v>
      </c>
      <c r="P105" s="1">
        <v>12</v>
      </c>
      <c r="Q105" s="1" t="s">
        <v>669</v>
      </c>
      <c r="R105" s="1" t="s">
        <v>683</v>
      </c>
      <c r="S105" s="1">
        <v>88</v>
      </c>
    </row>
    <row r="106" spans="1:19" x14ac:dyDescent="0.25">
      <c r="A106" s="1">
        <v>105</v>
      </c>
      <c r="B106" s="1" t="s">
        <v>154</v>
      </c>
      <c r="C106" s="1" t="s">
        <v>353</v>
      </c>
      <c r="D106" s="8">
        <v>1585440000</v>
      </c>
      <c r="E106" s="13"/>
      <c r="H106" s="7"/>
      <c r="I106" s="1" t="s">
        <v>526</v>
      </c>
      <c r="N106" s="1">
        <v>12</v>
      </c>
      <c r="O106" s="1">
        <v>6</v>
      </c>
      <c r="P106" s="1">
        <v>12</v>
      </c>
      <c r="Q106" s="1" t="s">
        <v>669</v>
      </c>
      <c r="R106" s="1" t="s">
        <v>683</v>
      </c>
      <c r="S106" s="1">
        <v>89</v>
      </c>
    </row>
    <row r="107" spans="1:19" x14ac:dyDescent="0.25">
      <c r="A107" s="1">
        <v>106</v>
      </c>
      <c r="B107" s="1" t="s">
        <v>155</v>
      </c>
      <c r="C107" s="1" t="s">
        <v>354</v>
      </c>
      <c r="D107" s="8">
        <v>211680000</v>
      </c>
      <c r="E107" s="13" t="s">
        <v>613</v>
      </c>
      <c r="F107" s="1">
        <v>2022</v>
      </c>
      <c r="G107" s="1" t="s">
        <v>420</v>
      </c>
      <c r="H107" s="7"/>
      <c r="I107" s="1" t="s">
        <v>421</v>
      </c>
      <c r="N107" s="1">
        <v>12</v>
      </c>
      <c r="O107" s="1">
        <v>3</v>
      </c>
      <c r="R107" s="1" t="s">
        <v>674</v>
      </c>
      <c r="S107" s="1">
        <v>81</v>
      </c>
    </row>
    <row r="108" spans="1:19" x14ac:dyDescent="0.25">
      <c r="A108" s="1">
        <v>107</v>
      </c>
      <c r="B108" s="1" t="s">
        <v>156</v>
      </c>
      <c r="C108" s="1" t="s">
        <v>355</v>
      </c>
      <c r="D108" s="8">
        <v>223300000.00000003</v>
      </c>
      <c r="E108" s="13" t="s">
        <v>614</v>
      </c>
      <c r="G108" s="1" t="s">
        <v>615</v>
      </c>
      <c r="H108" s="7"/>
      <c r="I108" s="1" t="s">
        <v>398</v>
      </c>
      <c r="N108" s="1">
        <v>12</v>
      </c>
      <c r="R108" s="1" t="s">
        <v>674</v>
      </c>
      <c r="S108" s="1">
        <v>3</v>
      </c>
    </row>
    <row r="109" spans="1:19" x14ac:dyDescent="0.25">
      <c r="A109" s="1">
        <v>108</v>
      </c>
      <c r="B109" s="1" t="s">
        <v>157</v>
      </c>
      <c r="C109" s="1" t="s">
        <v>356</v>
      </c>
      <c r="D109" s="8">
        <v>18700000</v>
      </c>
      <c r="E109" s="13"/>
      <c r="G109" s="1" t="s">
        <v>546</v>
      </c>
      <c r="H109" s="7"/>
      <c r="I109" s="1" t="s">
        <v>398</v>
      </c>
      <c r="N109" s="1">
        <v>12</v>
      </c>
      <c r="R109" s="1" t="s">
        <v>671</v>
      </c>
      <c r="S109" s="1">
        <v>93</v>
      </c>
    </row>
    <row r="110" spans="1:19" x14ac:dyDescent="0.25">
      <c r="A110" s="1">
        <v>109</v>
      </c>
      <c r="B110" s="1" t="s">
        <v>158</v>
      </c>
      <c r="C110" s="1" t="s">
        <v>357</v>
      </c>
      <c r="D110" s="8">
        <v>278700000</v>
      </c>
      <c r="E110" s="13"/>
      <c r="G110" s="1" t="s">
        <v>616</v>
      </c>
      <c r="H110" s="7"/>
      <c r="I110" s="1" t="s">
        <v>402</v>
      </c>
      <c r="O110" s="1">
        <v>3</v>
      </c>
      <c r="R110" s="1" t="s">
        <v>674</v>
      </c>
      <c r="S110" s="1">
        <v>22</v>
      </c>
    </row>
    <row r="111" spans="1:19" x14ac:dyDescent="0.25">
      <c r="A111" s="1">
        <v>110</v>
      </c>
      <c r="B111" s="1" t="s">
        <v>159</v>
      </c>
      <c r="C111" s="1" t="s">
        <v>358</v>
      </c>
      <c r="D111" s="8">
        <v>278700000</v>
      </c>
      <c r="E111" s="13"/>
      <c r="G111" s="1" t="s">
        <v>616</v>
      </c>
      <c r="H111" s="7"/>
      <c r="I111" s="1" t="s">
        <v>402</v>
      </c>
      <c r="O111" s="1">
        <v>3</v>
      </c>
      <c r="R111" s="1" t="s">
        <v>674</v>
      </c>
      <c r="S111" s="1">
        <v>22</v>
      </c>
    </row>
    <row r="112" spans="1:19" x14ac:dyDescent="0.25">
      <c r="A112" s="1">
        <v>111</v>
      </c>
      <c r="B112" s="1" t="s">
        <v>160</v>
      </c>
      <c r="C112" s="1" t="s">
        <v>359</v>
      </c>
      <c r="D112" s="8">
        <v>129000000</v>
      </c>
      <c r="E112" s="13"/>
      <c r="G112" s="1" t="s">
        <v>616</v>
      </c>
      <c r="H112" s="7"/>
      <c r="I112" s="1" t="s">
        <v>402</v>
      </c>
      <c r="O112" s="1">
        <v>3</v>
      </c>
      <c r="R112" s="1" t="s">
        <v>674</v>
      </c>
      <c r="S112" s="1">
        <v>22</v>
      </c>
    </row>
    <row r="113" spans="1:19" x14ac:dyDescent="0.25">
      <c r="A113" s="1">
        <v>112</v>
      </c>
      <c r="B113" s="1" t="s">
        <v>161</v>
      </c>
      <c r="C113" s="1" t="s">
        <v>360</v>
      </c>
      <c r="D113" s="8">
        <v>129000000</v>
      </c>
      <c r="E113" s="13"/>
      <c r="G113" s="1" t="s">
        <v>616</v>
      </c>
      <c r="H113" s="7"/>
      <c r="I113" s="1" t="s">
        <v>402</v>
      </c>
      <c r="O113" s="1">
        <v>3</v>
      </c>
      <c r="R113" s="1" t="s">
        <v>674</v>
      </c>
      <c r="S113" s="1">
        <v>22</v>
      </c>
    </row>
    <row r="114" spans="1:19" x14ac:dyDescent="0.25">
      <c r="A114" s="1">
        <v>113</v>
      </c>
      <c r="B114" s="1" t="s">
        <v>162</v>
      </c>
      <c r="C114" s="1" t="s">
        <v>361</v>
      </c>
      <c r="D114" s="8">
        <v>546967065</v>
      </c>
      <c r="E114" s="13"/>
      <c r="G114" s="1" t="s">
        <v>485</v>
      </c>
      <c r="H114" s="7"/>
      <c r="I114" s="1" t="s">
        <v>418</v>
      </c>
      <c r="O114" s="1">
        <v>3</v>
      </c>
      <c r="P114" s="1">
        <v>12</v>
      </c>
      <c r="R114" s="1" t="s">
        <v>673</v>
      </c>
      <c r="S114" s="1">
        <v>5</v>
      </c>
    </row>
    <row r="115" spans="1:19" x14ac:dyDescent="0.25">
      <c r="A115" s="1">
        <v>114</v>
      </c>
      <c r="B115" s="1" t="s">
        <v>163</v>
      </c>
      <c r="C115" s="1" t="s">
        <v>362</v>
      </c>
      <c r="D115" s="8">
        <v>48924000</v>
      </c>
      <c r="E115" s="13"/>
      <c r="G115" s="1" t="s">
        <v>485</v>
      </c>
      <c r="H115" s="7"/>
      <c r="I115" s="1" t="s">
        <v>418</v>
      </c>
      <c r="J115" s="1" t="s">
        <v>617</v>
      </c>
      <c r="O115" s="1">
        <v>12</v>
      </c>
      <c r="R115" s="1" t="s">
        <v>673</v>
      </c>
      <c r="S115" s="1">
        <v>8</v>
      </c>
    </row>
    <row r="116" spans="1:19" x14ac:dyDescent="0.25">
      <c r="A116" s="1">
        <v>115</v>
      </c>
      <c r="B116" s="1" t="s">
        <v>164</v>
      </c>
      <c r="C116" s="1" t="s">
        <v>363</v>
      </c>
      <c r="D116" s="8">
        <v>48924000</v>
      </c>
      <c r="E116" s="13"/>
      <c r="G116" s="1" t="s">
        <v>485</v>
      </c>
      <c r="H116" s="7"/>
      <c r="I116" s="1" t="s">
        <v>418</v>
      </c>
      <c r="J116" s="1" t="s">
        <v>617</v>
      </c>
      <c r="O116" s="1">
        <v>12</v>
      </c>
      <c r="R116" s="1" t="s">
        <v>673</v>
      </c>
      <c r="S116" s="1">
        <v>8</v>
      </c>
    </row>
    <row r="117" spans="1:19" x14ac:dyDescent="0.25">
      <c r="A117" s="1">
        <v>116</v>
      </c>
      <c r="B117" s="1" t="s">
        <v>165</v>
      </c>
      <c r="C117" s="1" t="s">
        <v>364</v>
      </c>
      <c r="D117" s="8">
        <v>35000000</v>
      </c>
      <c r="E117" s="13"/>
      <c r="G117" s="1" t="s">
        <v>485</v>
      </c>
      <c r="H117" s="7"/>
      <c r="I117" s="1" t="s">
        <v>418</v>
      </c>
      <c r="J117" s="1" t="s">
        <v>618</v>
      </c>
      <c r="O117" s="1">
        <v>12</v>
      </c>
      <c r="R117" s="1" t="s">
        <v>673</v>
      </c>
      <c r="S117" s="1">
        <v>8</v>
      </c>
    </row>
    <row r="118" spans="1:19" x14ac:dyDescent="0.25">
      <c r="A118" s="1">
        <v>117</v>
      </c>
      <c r="B118" s="1" t="s">
        <v>166</v>
      </c>
      <c r="C118" s="1" t="s">
        <v>365</v>
      </c>
      <c r="D118" s="8">
        <v>35000000</v>
      </c>
      <c r="E118" s="13"/>
      <c r="G118" s="1" t="s">
        <v>485</v>
      </c>
      <c r="H118" s="7"/>
      <c r="I118" s="1" t="s">
        <v>418</v>
      </c>
      <c r="J118" s="1" t="s">
        <v>618</v>
      </c>
      <c r="O118" s="1">
        <v>12</v>
      </c>
      <c r="R118" s="1" t="s">
        <v>673</v>
      </c>
      <c r="S118" s="1">
        <v>8</v>
      </c>
    </row>
    <row r="119" spans="1:19" x14ac:dyDescent="0.25">
      <c r="A119" s="1">
        <v>118</v>
      </c>
      <c r="B119" s="1" t="s">
        <v>167</v>
      </c>
      <c r="C119" s="1" t="s">
        <v>366</v>
      </c>
      <c r="D119" s="8">
        <v>18350000</v>
      </c>
      <c r="E119" s="13"/>
      <c r="G119" s="1" t="s">
        <v>619</v>
      </c>
      <c r="H119" s="7"/>
      <c r="I119" s="1" t="s">
        <v>402</v>
      </c>
      <c r="O119" s="1">
        <v>12</v>
      </c>
      <c r="R119" s="1" t="s">
        <v>679</v>
      </c>
      <c r="S119" s="1">
        <v>93</v>
      </c>
    </row>
    <row r="120" spans="1:19" x14ac:dyDescent="0.25">
      <c r="A120" s="1">
        <v>119</v>
      </c>
      <c r="B120" s="1" t="s">
        <v>168</v>
      </c>
      <c r="C120" s="1" t="s">
        <v>367</v>
      </c>
      <c r="D120" s="8">
        <v>22000000</v>
      </c>
      <c r="E120" s="13"/>
      <c r="G120" s="1" t="s">
        <v>620</v>
      </c>
      <c r="H120" s="7"/>
      <c r="I120" s="1" t="s">
        <v>418</v>
      </c>
      <c r="O120" s="1">
        <v>12</v>
      </c>
      <c r="R120" s="1" t="s">
        <v>673</v>
      </c>
    </row>
    <row r="121" spans="1:19" x14ac:dyDescent="0.25">
      <c r="A121" s="1">
        <v>120</v>
      </c>
      <c r="B121" s="1" t="s">
        <v>394</v>
      </c>
      <c r="C121" s="1" t="s">
        <v>774</v>
      </c>
      <c r="D121" s="8">
        <v>151860000</v>
      </c>
      <c r="E121" s="13" t="s">
        <v>782</v>
      </c>
      <c r="F121" s="1">
        <v>2016</v>
      </c>
      <c r="G121" s="1" t="s">
        <v>783</v>
      </c>
      <c r="H121" s="7">
        <v>42809</v>
      </c>
      <c r="I121" s="1" t="s">
        <v>421</v>
      </c>
      <c r="J121" s="14" t="s">
        <v>784</v>
      </c>
      <c r="N121" s="1">
        <v>12</v>
      </c>
      <c r="O121" s="1">
        <v>6</v>
      </c>
      <c r="R121" s="1" t="s">
        <v>674</v>
      </c>
    </row>
    <row r="122" spans="1:19" x14ac:dyDescent="0.25">
      <c r="A122" s="1">
        <v>121</v>
      </c>
      <c r="B122" s="1" t="s">
        <v>694</v>
      </c>
      <c r="C122" s="1" t="s">
        <v>693</v>
      </c>
      <c r="D122" s="8"/>
      <c r="E122" s="13"/>
      <c r="H122" s="7"/>
      <c r="N122" s="1">
        <v>12</v>
      </c>
      <c r="R122" s="1" t="s">
        <v>673</v>
      </c>
      <c r="S122" s="1">
        <v>8</v>
      </c>
    </row>
    <row r="123" spans="1:19" x14ac:dyDescent="0.25">
      <c r="A123" s="1">
        <v>122</v>
      </c>
      <c r="B123" s="1" t="s">
        <v>169</v>
      </c>
      <c r="C123" s="1" t="s">
        <v>368</v>
      </c>
      <c r="D123" s="8">
        <v>2086236000</v>
      </c>
      <c r="E123" s="13"/>
      <c r="H123" s="7"/>
      <c r="I123" s="1" t="s">
        <v>411</v>
      </c>
      <c r="O123" s="1">
        <v>12</v>
      </c>
      <c r="Q123" s="1" t="s">
        <v>669</v>
      </c>
      <c r="R123" s="1" t="s">
        <v>671</v>
      </c>
      <c r="S123" s="1">
        <v>18</v>
      </c>
    </row>
    <row r="124" spans="1:19" x14ac:dyDescent="0.25">
      <c r="A124" s="1">
        <v>123</v>
      </c>
      <c r="B124" s="1" t="s">
        <v>170</v>
      </c>
      <c r="C124" s="1" t="s">
        <v>369</v>
      </c>
      <c r="D124" s="8"/>
      <c r="E124" s="13"/>
      <c r="G124" s="1" t="s">
        <v>621</v>
      </c>
      <c r="H124" s="7"/>
      <c r="I124" s="1" t="s">
        <v>622</v>
      </c>
      <c r="J124" s="1" t="s">
        <v>623</v>
      </c>
      <c r="N124" s="1">
        <v>12</v>
      </c>
      <c r="Q124" s="1" t="s">
        <v>669</v>
      </c>
      <c r="R124" s="1" t="s">
        <v>673</v>
      </c>
    </row>
    <row r="125" spans="1:19" x14ac:dyDescent="0.25">
      <c r="A125" s="1">
        <v>124</v>
      </c>
      <c r="B125" s="1" t="s">
        <v>171</v>
      </c>
      <c r="C125" s="1" t="s">
        <v>369</v>
      </c>
      <c r="D125" s="8"/>
      <c r="E125" s="13"/>
      <c r="G125" s="1" t="s">
        <v>621</v>
      </c>
      <c r="H125" s="7"/>
      <c r="I125" s="1" t="s">
        <v>624</v>
      </c>
      <c r="J125" s="1" t="s">
        <v>623</v>
      </c>
      <c r="N125" s="1">
        <v>12</v>
      </c>
      <c r="Q125" s="1" t="s">
        <v>669</v>
      </c>
      <c r="R125" s="1" t="s">
        <v>673</v>
      </c>
    </row>
    <row r="126" spans="1:19" x14ac:dyDescent="0.25">
      <c r="A126" s="1">
        <v>125</v>
      </c>
      <c r="B126" s="1" t="s">
        <v>172</v>
      </c>
      <c r="C126" s="1" t="s">
        <v>369</v>
      </c>
      <c r="D126" s="8"/>
      <c r="E126" s="13"/>
      <c r="G126" s="1" t="s">
        <v>621</v>
      </c>
      <c r="H126" s="7"/>
      <c r="I126" s="1" t="s">
        <v>625</v>
      </c>
      <c r="J126" s="1" t="s">
        <v>623</v>
      </c>
      <c r="N126" s="1">
        <v>12</v>
      </c>
      <c r="Q126" s="1" t="s">
        <v>669</v>
      </c>
      <c r="R126" s="1" t="s">
        <v>673</v>
      </c>
    </row>
    <row r="127" spans="1:19" x14ac:dyDescent="0.25">
      <c r="A127" s="1">
        <v>126</v>
      </c>
      <c r="B127" s="1" t="s">
        <v>173</v>
      </c>
      <c r="C127" s="1" t="s">
        <v>369</v>
      </c>
      <c r="D127" s="8"/>
      <c r="E127" s="13"/>
      <c r="G127" s="1" t="s">
        <v>621</v>
      </c>
      <c r="H127" s="7"/>
      <c r="I127" s="1" t="s">
        <v>626</v>
      </c>
      <c r="J127" s="1" t="s">
        <v>623</v>
      </c>
      <c r="N127" s="1">
        <v>12</v>
      </c>
      <c r="Q127" s="1" t="s">
        <v>669</v>
      </c>
      <c r="R127" s="1" t="s">
        <v>673</v>
      </c>
    </row>
    <row r="128" spans="1:19" x14ac:dyDescent="0.25">
      <c r="A128" s="1">
        <v>127</v>
      </c>
      <c r="B128" s="1" t="s">
        <v>174</v>
      </c>
      <c r="C128" s="1" t="s">
        <v>369</v>
      </c>
      <c r="D128" s="8"/>
      <c r="E128" s="13"/>
      <c r="G128" s="1" t="s">
        <v>621</v>
      </c>
      <c r="H128" s="7"/>
      <c r="I128" s="1" t="s">
        <v>627</v>
      </c>
      <c r="J128" s="1" t="s">
        <v>623</v>
      </c>
      <c r="N128" s="1">
        <v>12</v>
      </c>
      <c r="Q128" s="1" t="s">
        <v>669</v>
      </c>
      <c r="R128" s="1" t="s">
        <v>673</v>
      </c>
    </row>
    <row r="129" spans="1:19" x14ac:dyDescent="0.25">
      <c r="A129" s="1">
        <v>128</v>
      </c>
      <c r="B129" s="1" t="s">
        <v>175</v>
      </c>
      <c r="C129" s="1" t="s">
        <v>369</v>
      </c>
      <c r="D129" s="8"/>
      <c r="E129" s="13"/>
      <c r="G129" s="1" t="s">
        <v>621</v>
      </c>
      <c r="H129" s="7"/>
      <c r="I129" s="1" t="s">
        <v>628</v>
      </c>
      <c r="J129" s="1" t="s">
        <v>623</v>
      </c>
      <c r="N129" s="1">
        <v>12</v>
      </c>
      <c r="Q129" s="1" t="s">
        <v>669</v>
      </c>
      <c r="R129" s="1" t="s">
        <v>673</v>
      </c>
    </row>
    <row r="130" spans="1:19" x14ac:dyDescent="0.25">
      <c r="A130" s="1">
        <v>129</v>
      </c>
      <c r="B130" s="1" t="s">
        <v>176</v>
      </c>
      <c r="C130" s="1" t="s">
        <v>369</v>
      </c>
      <c r="D130" s="8"/>
      <c r="E130" s="13"/>
      <c r="G130" s="1" t="s">
        <v>621</v>
      </c>
      <c r="H130" s="7"/>
      <c r="I130" s="1" t="s">
        <v>629</v>
      </c>
      <c r="J130" s="1" t="s">
        <v>623</v>
      </c>
      <c r="N130" s="1">
        <v>12</v>
      </c>
      <c r="Q130" s="1" t="s">
        <v>669</v>
      </c>
      <c r="R130" s="1" t="s">
        <v>673</v>
      </c>
    </row>
    <row r="131" spans="1:19" x14ac:dyDescent="0.25">
      <c r="A131" s="1">
        <v>130</v>
      </c>
      <c r="B131" s="1" t="s">
        <v>177</v>
      </c>
      <c r="C131" s="1" t="s">
        <v>369</v>
      </c>
      <c r="D131" s="8"/>
      <c r="E131" s="13"/>
      <c r="G131" s="1" t="s">
        <v>621</v>
      </c>
      <c r="H131" s="7"/>
      <c r="I131" s="1" t="s">
        <v>630</v>
      </c>
      <c r="J131" s="1" t="s">
        <v>631</v>
      </c>
      <c r="N131" s="1">
        <v>12</v>
      </c>
      <c r="Q131" s="1" t="s">
        <v>669</v>
      </c>
      <c r="R131" s="1" t="s">
        <v>673</v>
      </c>
    </row>
    <row r="132" spans="1:19" x14ac:dyDescent="0.25">
      <c r="A132" s="1">
        <v>131</v>
      </c>
      <c r="B132" s="1" t="s">
        <v>178</v>
      </c>
      <c r="C132" s="1" t="s">
        <v>369</v>
      </c>
      <c r="D132" s="8"/>
      <c r="E132" s="13"/>
      <c r="G132" s="1" t="s">
        <v>621</v>
      </c>
      <c r="H132" s="7"/>
      <c r="I132" s="1" t="s">
        <v>632</v>
      </c>
      <c r="J132" s="1" t="s">
        <v>631</v>
      </c>
      <c r="N132" s="1">
        <v>12</v>
      </c>
      <c r="Q132" s="1" t="s">
        <v>669</v>
      </c>
      <c r="R132" s="1" t="s">
        <v>673</v>
      </c>
    </row>
    <row r="133" spans="1:19" x14ac:dyDescent="0.25">
      <c r="A133" s="1">
        <v>132</v>
      </c>
      <c r="B133" s="1" t="s">
        <v>179</v>
      </c>
      <c r="C133" s="1" t="s">
        <v>369</v>
      </c>
      <c r="D133" s="8"/>
      <c r="E133" s="13"/>
      <c r="G133" s="1" t="s">
        <v>621</v>
      </c>
      <c r="H133" s="7"/>
      <c r="I133" s="1" t="s">
        <v>633</v>
      </c>
      <c r="J133" s="1" t="s">
        <v>631</v>
      </c>
      <c r="N133" s="1">
        <v>12</v>
      </c>
      <c r="Q133" s="1" t="s">
        <v>669</v>
      </c>
      <c r="R133" s="1" t="s">
        <v>673</v>
      </c>
    </row>
    <row r="134" spans="1:19" x14ac:dyDescent="0.25">
      <c r="A134" s="1">
        <v>133</v>
      </c>
      <c r="B134" s="1" t="s">
        <v>180</v>
      </c>
      <c r="C134" s="1" t="s">
        <v>369</v>
      </c>
      <c r="D134" s="8"/>
      <c r="E134" s="13"/>
      <c r="G134" s="1" t="s">
        <v>621</v>
      </c>
      <c r="H134" s="7"/>
      <c r="I134" s="1" t="s">
        <v>634</v>
      </c>
      <c r="J134" s="1" t="s">
        <v>631</v>
      </c>
      <c r="N134" s="1">
        <v>12</v>
      </c>
      <c r="Q134" s="1" t="s">
        <v>669</v>
      </c>
      <c r="R134" s="1" t="s">
        <v>673</v>
      </c>
    </row>
    <row r="135" spans="1:19" x14ac:dyDescent="0.25">
      <c r="A135" s="1">
        <v>134</v>
      </c>
      <c r="B135" s="1" t="s">
        <v>181</v>
      </c>
      <c r="C135" s="1" t="s">
        <v>369</v>
      </c>
      <c r="D135" s="8"/>
      <c r="E135" s="13"/>
      <c r="G135" s="1" t="s">
        <v>621</v>
      </c>
      <c r="H135" s="7"/>
      <c r="I135" s="1" t="s">
        <v>635</v>
      </c>
      <c r="J135" s="1" t="s">
        <v>631</v>
      </c>
      <c r="N135" s="1">
        <v>12</v>
      </c>
      <c r="Q135" s="1" t="s">
        <v>669</v>
      </c>
      <c r="R135" s="1" t="s">
        <v>673</v>
      </c>
    </row>
    <row r="136" spans="1:19" x14ac:dyDescent="0.25">
      <c r="A136" s="1">
        <v>135</v>
      </c>
      <c r="B136" s="1" t="s">
        <v>182</v>
      </c>
      <c r="C136" s="1" t="s">
        <v>369</v>
      </c>
      <c r="D136" s="8"/>
      <c r="E136" s="13"/>
      <c r="G136" s="1" t="s">
        <v>621</v>
      </c>
      <c r="H136" s="7"/>
      <c r="I136" s="1" t="s">
        <v>636</v>
      </c>
      <c r="J136" s="1" t="s">
        <v>631</v>
      </c>
      <c r="N136" s="1">
        <v>12</v>
      </c>
      <c r="Q136" s="1" t="s">
        <v>669</v>
      </c>
      <c r="R136" s="1" t="s">
        <v>673</v>
      </c>
    </row>
    <row r="137" spans="1:19" x14ac:dyDescent="0.25">
      <c r="A137" s="1">
        <v>136</v>
      </c>
      <c r="B137" s="1" t="s">
        <v>183</v>
      </c>
      <c r="C137" s="1" t="s">
        <v>369</v>
      </c>
      <c r="D137" s="8"/>
      <c r="E137" s="13"/>
      <c r="G137" s="1" t="s">
        <v>621</v>
      </c>
      <c r="H137" s="7"/>
      <c r="I137" s="1" t="s">
        <v>637</v>
      </c>
      <c r="J137" s="1" t="s">
        <v>631</v>
      </c>
      <c r="N137" s="1">
        <v>12</v>
      </c>
      <c r="Q137" s="1" t="s">
        <v>669</v>
      </c>
      <c r="R137" s="1" t="s">
        <v>673</v>
      </c>
    </row>
    <row r="138" spans="1:19" x14ac:dyDescent="0.25">
      <c r="A138" s="1">
        <v>137</v>
      </c>
      <c r="B138" s="1" t="s">
        <v>184</v>
      </c>
      <c r="C138" s="1" t="s">
        <v>369</v>
      </c>
      <c r="D138" s="8"/>
      <c r="E138" s="13"/>
      <c r="G138" s="1" t="s">
        <v>621</v>
      </c>
      <c r="H138" s="7"/>
      <c r="I138" s="1" t="s">
        <v>638</v>
      </c>
      <c r="J138" s="1" t="s">
        <v>631</v>
      </c>
      <c r="N138" s="1">
        <v>12</v>
      </c>
      <c r="Q138" s="1" t="s">
        <v>669</v>
      </c>
      <c r="R138" s="1" t="s">
        <v>673</v>
      </c>
    </row>
    <row r="139" spans="1:19" x14ac:dyDescent="0.25">
      <c r="A139" s="1">
        <v>138</v>
      </c>
      <c r="B139" s="1" t="s">
        <v>185</v>
      </c>
      <c r="C139" s="1" t="s">
        <v>369</v>
      </c>
      <c r="D139" s="8"/>
      <c r="E139" s="13"/>
      <c r="G139" s="1" t="s">
        <v>621</v>
      </c>
      <c r="H139" s="7"/>
      <c r="I139" s="1" t="s">
        <v>639</v>
      </c>
      <c r="J139" s="1" t="s">
        <v>640</v>
      </c>
      <c r="N139" s="1">
        <v>12</v>
      </c>
      <c r="Q139" s="1" t="s">
        <v>669</v>
      </c>
      <c r="R139" s="1" t="s">
        <v>673</v>
      </c>
    </row>
    <row r="140" spans="1:19" x14ac:dyDescent="0.25">
      <c r="A140" s="1">
        <v>139</v>
      </c>
      <c r="B140" s="1" t="s">
        <v>186</v>
      </c>
      <c r="C140" s="1" t="s">
        <v>370</v>
      </c>
      <c r="D140" s="8">
        <v>9507240</v>
      </c>
      <c r="E140" s="13" t="s">
        <v>695</v>
      </c>
      <c r="G140" s="1" t="s">
        <v>546</v>
      </c>
      <c r="H140" s="7">
        <v>44922</v>
      </c>
      <c r="I140" s="1" t="s">
        <v>641</v>
      </c>
      <c r="J140" s="1" t="s">
        <v>646</v>
      </c>
      <c r="N140" s="1">
        <v>12</v>
      </c>
      <c r="Q140" s="1" t="s">
        <v>669</v>
      </c>
      <c r="R140" s="1" t="s">
        <v>671</v>
      </c>
      <c r="S140" s="1">
        <v>93</v>
      </c>
    </row>
    <row r="141" spans="1:19" x14ac:dyDescent="0.25">
      <c r="A141" s="1">
        <v>140</v>
      </c>
      <c r="B141" s="1" t="s">
        <v>187</v>
      </c>
      <c r="C141" s="1" t="s">
        <v>370</v>
      </c>
      <c r="D141" s="8">
        <v>9507240</v>
      </c>
      <c r="E141" s="13" t="s">
        <v>696</v>
      </c>
      <c r="G141" s="1" t="s">
        <v>546</v>
      </c>
      <c r="H141" s="7">
        <v>44922</v>
      </c>
      <c r="I141" s="1" t="s">
        <v>642</v>
      </c>
      <c r="J141" s="1" t="s">
        <v>646</v>
      </c>
      <c r="N141" s="1">
        <v>12</v>
      </c>
      <c r="Q141" s="1" t="s">
        <v>669</v>
      </c>
      <c r="R141" s="1" t="s">
        <v>671</v>
      </c>
      <c r="S141" s="1">
        <v>93</v>
      </c>
    </row>
    <row r="142" spans="1:19" x14ac:dyDescent="0.25">
      <c r="A142" s="1">
        <v>141</v>
      </c>
      <c r="B142" s="1" t="s">
        <v>188</v>
      </c>
      <c r="C142" s="1" t="s">
        <v>371</v>
      </c>
      <c r="D142" s="8">
        <v>5711040</v>
      </c>
      <c r="E142" s="13" t="s">
        <v>697</v>
      </c>
      <c r="G142" s="1" t="s">
        <v>546</v>
      </c>
      <c r="H142" s="7">
        <v>44922</v>
      </c>
      <c r="I142" s="1" t="s">
        <v>418</v>
      </c>
      <c r="J142" s="14" t="s">
        <v>702</v>
      </c>
      <c r="N142" s="1">
        <v>12</v>
      </c>
      <c r="Q142" s="1" t="s">
        <v>669</v>
      </c>
      <c r="R142" s="1" t="s">
        <v>671</v>
      </c>
      <c r="S142" s="1">
        <v>93</v>
      </c>
    </row>
    <row r="143" spans="1:19" x14ac:dyDescent="0.25">
      <c r="A143" s="1">
        <v>142</v>
      </c>
      <c r="B143" s="1" t="s">
        <v>189</v>
      </c>
      <c r="C143" s="1" t="s">
        <v>371</v>
      </c>
      <c r="D143" s="8">
        <v>5711040</v>
      </c>
      <c r="E143" s="13" t="s">
        <v>698</v>
      </c>
      <c r="G143" s="1" t="s">
        <v>546</v>
      </c>
      <c r="H143" s="7">
        <v>44922</v>
      </c>
      <c r="I143" s="1" t="s">
        <v>418</v>
      </c>
      <c r="J143" s="14" t="s">
        <v>702</v>
      </c>
      <c r="N143" s="1">
        <v>12</v>
      </c>
      <c r="Q143" s="1" t="s">
        <v>669</v>
      </c>
      <c r="R143" s="1" t="s">
        <v>671</v>
      </c>
      <c r="S143" s="1">
        <v>93</v>
      </c>
    </row>
    <row r="144" spans="1:19" x14ac:dyDescent="0.25">
      <c r="A144" s="1">
        <v>143</v>
      </c>
      <c r="B144" s="1" t="s">
        <v>190</v>
      </c>
      <c r="C144" s="1" t="s">
        <v>371</v>
      </c>
      <c r="D144" s="8">
        <v>5711040</v>
      </c>
      <c r="E144" s="13" t="s">
        <v>699</v>
      </c>
      <c r="G144" s="1" t="s">
        <v>546</v>
      </c>
      <c r="H144" s="7">
        <v>44922</v>
      </c>
      <c r="I144" s="1" t="s">
        <v>418</v>
      </c>
      <c r="J144" s="14" t="s">
        <v>702</v>
      </c>
      <c r="N144" s="1">
        <v>12</v>
      </c>
      <c r="Q144" s="1" t="s">
        <v>669</v>
      </c>
      <c r="R144" s="1" t="s">
        <v>671</v>
      </c>
      <c r="S144" s="1">
        <v>93</v>
      </c>
    </row>
    <row r="145" spans="1:19" x14ac:dyDescent="0.25">
      <c r="A145" s="1">
        <v>144</v>
      </c>
      <c r="B145" s="1" t="s">
        <v>191</v>
      </c>
      <c r="C145" s="1" t="s">
        <v>371</v>
      </c>
      <c r="D145" s="8">
        <v>5711040</v>
      </c>
      <c r="E145" s="13" t="s">
        <v>700</v>
      </c>
      <c r="G145" s="1" t="s">
        <v>546</v>
      </c>
      <c r="H145" s="7">
        <v>44922</v>
      </c>
      <c r="I145" s="1" t="s">
        <v>418</v>
      </c>
      <c r="J145" s="14" t="s">
        <v>702</v>
      </c>
      <c r="N145" s="1">
        <v>12</v>
      </c>
      <c r="Q145" s="1" t="s">
        <v>669</v>
      </c>
      <c r="R145" s="1" t="s">
        <v>671</v>
      </c>
      <c r="S145" s="1">
        <v>93</v>
      </c>
    </row>
    <row r="146" spans="1:19" x14ac:dyDescent="0.25">
      <c r="A146" s="1">
        <v>145</v>
      </c>
      <c r="B146" s="1" t="s">
        <v>192</v>
      </c>
      <c r="C146" s="1" t="s">
        <v>371</v>
      </c>
      <c r="D146" s="8">
        <v>5711040</v>
      </c>
      <c r="E146" s="13" t="s">
        <v>701</v>
      </c>
      <c r="G146" s="1" t="s">
        <v>546</v>
      </c>
      <c r="H146" s="7">
        <v>44922</v>
      </c>
      <c r="I146" s="1" t="s">
        <v>398</v>
      </c>
      <c r="J146" s="14" t="s">
        <v>702</v>
      </c>
      <c r="N146" s="1">
        <v>12</v>
      </c>
      <c r="Q146" s="1" t="s">
        <v>669</v>
      </c>
      <c r="R146" s="1" t="s">
        <v>671</v>
      </c>
      <c r="S146" s="1">
        <v>93</v>
      </c>
    </row>
    <row r="147" spans="1:19" x14ac:dyDescent="0.25">
      <c r="A147" s="1">
        <v>146</v>
      </c>
      <c r="B147" s="1" t="s">
        <v>193</v>
      </c>
      <c r="C147" s="1" t="s">
        <v>372</v>
      </c>
      <c r="D147" s="8">
        <v>2216160</v>
      </c>
      <c r="E147" s="13"/>
      <c r="G147" s="1" t="s">
        <v>546</v>
      </c>
      <c r="H147" s="7">
        <v>44922</v>
      </c>
      <c r="I147" s="1" t="s">
        <v>418</v>
      </c>
      <c r="J147" s="14" t="s">
        <v>703</v>
      </c>
      <c r="N147" s="1">
        <v>12</v>
      </c>
      <c r="Q147" s="1" t="s">
        <v>669</v>
      </c>
      <c r="R147" s="1" t="s">
        <v>671</v>
      </c>
      <c r="S147" s="1">
        <v>93</v>
      </c>
    </row>
    <row r="148" spans="1:19" x14ac:dyDescent="0.25">
      <c r="A148" s="1">
        <v>147</v>
      </c>
      <c r="B148" s="1" t="s">
        <v>194</v>
      </c>
      <c r="C148" s="1" t="s">
        <v>372</v>
      </c>
      <c r="D148" s="8">
        <v>2216160</v>
      </c>
      <c r="E148" s="13"/>
      <c r="G148" s="1" t="s">
        <v>546</v>
      </c>
      <c r="H148" s="7">
        <v>44922</v>
      </c>
      <c r="I148" s="1" t="s">
        <v>418</v>
      </c>
      <c r="J148" s="14" t="s">
        <v>703</v>
      </c>
      <c r="N148" s="1">
        <v>12</v>
      </c>
      <c r="Q148" s="1" t="s">
        <v>669</v>
      </c>
      <c r="R148" s="1" t="s">
        <v>671</v>
      </c>
      <c r="S148" s="1">
        <v>93</v>
      </c>
    </row>
    <row r="149" spans="1:19" x14ac:dyDescent="0.25">
      <c r="A149" s="1">
        <v>148</v>
      </c>
      <c r="B149" s="1" t="s">
        <v>195</v>
      </c>
      <c r="C149" s="1" t="s">
        <v>372</v>
      </c>
      <c r="D149" s="8">
        <v>2216160</v>
      </c>
      <c r="E149" s="13"/>
      <c r="G149" s="1" t="s">
        <v>546</v>
      </c>
      <c r="H149" s="7">
        <v>44922</v>
      </c>
      <c r="I149" s="1" t="s">
        <v>418</v>
      </c>
      <c r="J149" s="14" t="s">
        <v>703</v>
      </c>
      <c r="N149" s="1">
        <v>12</v>
      </c>
      <c r="Q149" s="1" t="s">
        <v>669</v>
      </c>
      <c r="R149" s="1" t="s">
        <v>671</v>
      </c>
      <c r="S149" s="1">
        <v>93</v>
      </c>
    </row>
    <row r="150" spans="1:19" x14ac:dyDescent="0.25">
      <c r="A150" s="1">
        <v>149</v>
      </c>
      <c r="B150" s="1" t="s">
        <v>196</v>
      </c>
      <c r="C150" s="1" t="s">
        <v>372</v>
      </c>
      <c r="D150" s="8">
        <v>2216160</v>
      </c>
      <c r="E150" s="13"/>
      <c r="G150" s="1" t="s">
        <v>546</v>
      </c>
      <c r="H150" s="7">
        <v>44922</v>
      </c>
      <c r="I150" s="1" t="s">
        <v>398</v>
      </c>
      <c r="J150" s="14" t="s">
        <v>703</v>
      </c>
      <c r="N150" s="1">
        <v>12</v>
      </c>
      <c r="Q150" s="1" t="s">
        <v>669</v>
      </c>
      <c r="R150" s="1" t="s">
        <v>671</v>
      </c>
      <c r="S150" s="1">
        <v>93</v>
      </c>
    </row>
    <row r="151" spans="1:19" x14ac:dyDescent="0.25">
      <c r="A151" s="1">
        <v>150</v>
      </c>
      <c r="B151" s="1" t="s">
        <v>197</v>
      </c>
      <c r="C151" s="1" t="s">
        <v>372</v>
      </c>
      <c r="D151" s="8">
        <v>2216160</v>
      </c>
      <c r="E151" s="13"/>
      <c r="G151" s="1" t="s">
        <v>546</v>
      </c>
      <c r="H151" s="7">
        <v>44922</v>
      </c>
      <c r="I151" s="1" t="s">
        <v>398</v>
      </c>
      <c r="J151" s="14" t="s">
        <v>703</v>
      </c>
      <c r="N151" s="1">
        <v>12</v>
      </c>
      <c r="Q151" s="1" t="s">
        <v>669</v>
      </c>
      <c r="R151" s="1" t="s">
        <v>671</v>
      </c>
      <c r="S151" s="1">
        <v>93</v>
      </c>
    </row>
    <row r="152" spans="1:19" x14ac:dyDescent="0.25">
      <c r="A152" s="1">
        <v>151</v>
      </c>
      <c r="B152" s="1" t="s">
        <v>198</v>
      </c>
      <c r="C152" s="1" t="s">
        <v>372</v>
      </c>
      <c r="D152" s="8">
        <v>2216160</v>
      </c>
      <c r="E152" s="13"/>
      <c r="G152" s="1" t="s">
        <v>546</v>
      </c>
      <c r="H152" s="7">
        <v>44922</v>
      </c>
      <c r="I152" s="1" t="s">
        <v>398</v>
      </c>
      <c r="J152" s="14" t="s">
        <v>703</v>
      </c>
      <c r="N152" s="1">
        <v>12</v>
      </c>
      <c r="Q152" s="1" t="s">
        <v>669</v>
      </c>
      <c r="R152" s="1" t="s">
        <v>671</v>
      </c>
      <c r="S152" s="1">
        <v>93</v>
      </c>
    </row>
    <row r="153" spans="1:19" x14ac:dyDescent="0.25">
      <c r="A153" s="1">
        <v>152</v>
      </c>
      <c r="B153" s="1" t="s">
        <v>199</v>
      </c>
      <c r="C153" s="1" t="s">
        <v>373</v>
      </c>
      <c r="D153" s="8">
        <v>2595000</v>
      </c>
      <c r="E153" s="13"/>
      <c r="H153" s="7">
        <v>44859</v>
      </c>
      <c r="I153" s="1" t="s">
        <v>526</v>
      </c>
      <c r="J153" s="1" t="s">
        <v>643</v>
      </c>
      <c r="N153" s="1">
        <v>12</v>
      </c>
      <c r="Q153" s="1" t="s">
        <v>669</v>
      </c>
      <c r="R153" s="1" t="s">
        <v>671</v>
      </c>
      <c r="S153" s="1">
        <v>92</v>
      </c>
    </row>
    <row r="154" spans="1:19" x14ac:dyDescent="0.25">
      <c r="A154" s="1">
        <v>153</v>
      </c>
      <c r="B154" s="1" t="s">
        <v>200</v>
      </c>
      <c r="C154" s="1" t="s">
        <v>374</v>
      </c>
      <c r="D154" s="8">
        <v>105500000</v>
      </c>
      <c r="E154" s="13">
        <v>26392779667</v>
      </c>
      <c r="H154" s="7"/>
      <c r="I154" s="1" t="s">
        <v>411</v>
      </c>
      <c r="O154" s="1">
        <v>3</v>
      </c>
      <c r="R154" s="1" t="s">
        <v>674</v>
      </c>
    </row>
    <row r="155" spans="1:19" x14ac:dyDescent="0.25">
      <c r="A155" s="1">
        <v>154</v>
      </c>
      <c r="B155" s="1" t="s">
        <v>267</v>
      </c>
      <c r="C155" s="1" t="s">
        <v>378</v>
      </c>
      <c r="D155" s="8"/>
      <c r="E155" s="13"/>
      <c r="G155" s="1" t="s">
        <v>408</v>
      </c>
      <c r="H155" s="7"/>
      <c r="I155" s="1" t="s">
        <v>414</v>
      </c>
      <c r="J155" s="1" t="s">
        <v>659</v>
      </c>
      <c r="N155" s="1">
        <v>12</v>
      </c>
      <c r="Q155" s="1" t="s">
        <v>669</v>
      </c>
      <c r="R155" s="1" t="s">
        <v>671</v>
      </c>
    </row>
    <row r="156" spans="1:19" x14ac:dyDescent="0.25">
      <c r="A156" s="1">
        <v>155</v>
      </c>
      <c r="B156" s="1" t="s">
        <v>268</v>
      </c>
      <c r="C156" s="1" t="s">
        <v>379</v>
      </c>
      <c r="D156" s="8"/>
      <c r="E156" s="13"/>
      <c r="H156" s="7"/>
      <c r="I156" s="1" t="s">
        <v>660</v>
      </c>
      <c r="J156" s="1" t="s">
        <v>661</v>
      </c>
      <c r="N156" s="1">
        <v>12</v>
      </c>
      <c r="Q156" s="1" t="s">
        <v>669</v>
      </c>
      <c r="R156" s="1" t="s">
        <v>671</v>
      </c>
    </row>
    <row r="157" spans="1:19" x14ac:dyDescent="0.25">
      <c r="A157" s="1">
        <v>156</v>
      </c>
      <c r="B157" s="1" t="s">
        <v>269</v>
      </c>
      <c r="C157" s="1" t="s">
        <v>380</v>
      </c>
      <c r="D157" s="8"/>
      <c r="E157" s="13"/>
      <c r="G157" s="1" t="s">
        <v>662</v>
      </c>
      <c r="H157" s="7"/>
      <c r="I157" s="1" t="s">
        <v>414</v>
      </c>
      <c r="N157" s="1">
        <v>12</v>
      </c>
      <c r="Q157" s="1" t="s">
        <v>669</v>
      </c>
      <c r="R157" s="1" t="s">
        <v>671</v>
      </c>
    </row>
    <row r="158" spans="1:19" x14ac:dyDescent="0.25">
      <c r="A158" s="1">
        <v>157</v>
      </c>
      <c r="B158" s="1" t="s">
        <v>270</v>
      </c>
      <c r="C158" s="1" t="s">
        <v>381</v>
      </c>
      <c r="D158" s="8"/>
      <c r="E158" s="13"/>
      <c r="F158" s="1">
        <v>2018</v>
      </c>
      <c r="G158" s="1" t="s">
        <v>485</v>
      </c>
      <c r="H158" s="7"/>
      <c r="I158" s="1" t="s">
        <v>411</v>
      </c>
      <c r="L158" s="1">
        <v>12</v>
      </c>
      <c r="Q158" s="1" t="s">
        <v>669</v>
      </c>
      <c r="R158" s="1" t="s">
        <v>671</v>
      </c>
      <c r="S158" s="1">
        <v>74</v>
      </c>
    </row>
    <row r="159" spans="1:19" x14ac:dyDescent="0.25">
      <c r="A159" s="1">
        <v>158</v>
      </c>
      <c r="B159" s="1" t="s">
        <v>271</v>
      </c>
      <c r="C159" s="1" t="s">
        <v>382</v>
      </c>
      <c r="D159" s="8"/>
      <c r="E159" s="13"/>
      <c r="F159" s="1">
        <v>2018</v>
      </c>
      <c r="G159" s="1" t="s">
        <v>485</v>
      </c>
      <c r="H159" s="7"/>
      <c r="I159" s="1" t="s">
        <v>411</v>
      </c>
      <c r="L159" s="1">
        <v>12</v>
      </c>
      <c r="Q159" s="1" t="s">
        <v>669</v>
      </c>
      <c r="R159" s="1" t="s">
        <v>671</v>
      </c>
      <c r="S159" s="1">
        <v>74</v>
      </c>
    </row>
    <row r="160" spans="1:19" x14ac:dyDescent="0.25">
      <c r="A160" s="1">
        <v>159</v>
      </c>
      <c r="B160" s="1" t="s">
        <v>272</v>
      </c>
      <c r="C160" s="1" t="s">
        <v>383</v>
      </c>
      <c r="D160" s="8"/>
      <c r="E160" s="13"/>
      <c r="H160" s="7"/>
      <c r="I160" s="1" t="s">
        <v>411</v>
      </c>
      <c r="L160" s="1">
        <v>12</v>
      </c>
      <c r="Q160" s="1" t="s">
        <v>669</v>
      </c>
      <c r="R160" s="1" t="s">
        <v>671</v>
      </c>
      <c r="S160" s="1">
        <v>74</v>
      </c>
    </row>
    <row r="161" spans="1:19" x14ac:dyDescent="0.25">
      <c r="A161" s="1">
        <v>160</v>
      </c>
      <c r="B161" s="1" t="s">
        <v>785</v>
      </c>
      <c r="C161" s="1" t="s">
        <v>786</v>
      </c>
      <c r="D161" s="8"/>
      <c r="E161" s="13"/>
      <c r="H161" s="7">
        <v>44999</v>
      </c>
      <c r="I161" s="1" t="s">
        <v>411</v>
      </c>
      <c r="J161" s="1" t="s">
        <v>787</v>
      </c>
      <c r="Q161" s="1" t="s">
        <v>669</v>
      </c>
      <c r="R161" s="1" t="s">
        <v>671</v>
      </c>
      <c r="S161" s="1">
        <v>74</v>
      </c>
    </row>
    <row r="162" spans="1:19" x14ac:dyDescent="0.25">
      <c r="A162" s="1">
        <v>161</v>
      </c>
      <c r="B162" s="1" t="s">
        <v>201</v>
      </c>
      <c r="C162" s="1" t="s">
        <v>375</v>
      </c>
      <c r="D162" s="8">
        <v>2927100</v>
      </c>
      <c r="E162" s="13"/>
      <c r="G162" s="1" t="s">
        <v>546</v>
      </c>
      <c r="H162" s="7">
        <v>43826</v>
      </c>
      <c r="J162" s="1" t="s">
        <v>644</v>
      </c>
      <c r="N162" s="1">
        <v>12</v>
      </c>
      <c r="R162" s="1" t="s">
        <v>671</v>
      </c>
      <c r="S162" s="1">
        <v>87</v>
      </c>
    </row>
    <row r="163" spans="1:19" x14ac:dyDescent="0.25">
      <c r="A163" s="1">
        <v>162</v>
      </c>
      <c r="B163" s="1" t="s">
        <v>202</v>
      </c>
      <c r="C163" s="1" t="s">
        <v>375</v>
      </c>
      <c r="D163" s="8">
        <v>2927100</v>
      </c>
      <c r="E163" s="13"/>
      <c r="G163" s="1" t="s">
        <v>546</v>
      </c>
      <c r="H163" s="7">
        <v>43826</v>
      </c>
      <c r="J163" s="1" t="s">
        <v>644</v>
      </c>
      <c r="N163" s="1">
        <v>12</v>
      </c>
      <c r="R163" s="1" t="s">
        <v>671</v>
      </c>
      <c r="S163" s="1">
        <v>87</v>
      </c>
    </row>
    <row r="164" spans="1:19" x14ac:dyDescent="0.25">
      <c r="A164" s="1">
        <v>163</v>
      </c>
      <c r="B164" s="1" t="s">
        <v>203</v>
      </c>
      <c r="C164" s="1" t="s">
        <v>375</v>
      </c>
      <c r="D164" s="8">
        <v>2927100</v>
      </c>
      <c r="E164" s="13"/>
      <c r="G164" s="1" t="s">
        <v>546</v>
      </c>
      <c r="H164" s="7">
        <v>43826</v>
      </c>
      <c r="J164" s="1" t="s">
        <v>644</v>
      </c>
      <c r="N164" s="1">
        <v>12</v>
      </c>
      <c r="R164" s="1" t="s">
        <v>671</v>
      </c>
      <c r="S164" s="1">
        <v>87</v>
      </c>
    </row>
    <row r="165" spans="1:19" x14ac:dyDescent="0.25">
      <c r="A165" s="1">
        <v>164</v>
      </c>
      <c r="B165" s="1" t="s">
        <v>204</v>
      </c>
      <c r="C165" s="1" t="s">
        <v>375</v>
      </c>
      <c r="D165" s="8">
        <v>2927100</v>
      </c>
      <c r="E165" s="13"/>
      <c r="G165" s="1" t="s">
        <v>546</v>
      </c>
      <c r="H165" s="7">
        <v>43826</v>
      </c>
      <c r="J165" s="1" t="s">
        <v>644</v>
      </c>
      <c r="N165" s="1">
        <v>12</v>
      </c>
      <c r="R165" s="1" t="s">
        <v>671</v>
      </c>
      <c r="S165" s="1">
        <v>87</v>
      </c>
    </row>
    <row r="166" spans="1:19" x14ac:dyDescent="0.25">
      <c r="A166" s="1">
        <v>165</v>
      </c>
      <c r="B166" s="1" t="s">
        <v>205</v>
      </c>
      <c r="C166" s="1" t="s">
        <v>375</v>
      </c>
      <c r="D166" s="8">
        <v>2927100</v>
      </c>
      <c r="E166" s="13"/>
      <c r="G166" s="1" t="s">
        <v>546</v>
      </c>
      <c r="H166" s="7">
        <v>43826</v>
      </c>
      <c r="J166" s="1" t="s">
        <v>644</v>
      </c>
      <c r="N166" s="1">
        <v>12</v>
      </c>
      <c r="R166" s="1" t="s">
        <v>671</v>
      </c>
      <c r="S166" s="1">
        <v>87</v>
      </c>
    </row>
    <row r="167" spans="1:19" x14ac:dyDescent="0.25">
      <c r="A167" s="1">
        <v>166</v>
      </c>
      <c r="B167" s="1" t="s">
        <v>206</v>
      </c>
      <c r="C167" s="1" t="s">
        <v>375</v>
      </c>
      <c r="D167" s="8">
        <v>2927100</v>
      </c>
      <c r="E167" s="13"/>
      <c r="G167" s="1" t="s">
        <v>546</v>
      </c>
      <c r="H167" s="7">
        <v>43826</v>
      </c>
      <c r="J167" s="1" t="s">
        <v>644</v>
      </c>
      <c r="N167" s="1">
        <v>12</v>
      </c>
      <c r="R167" s="1" t="s">
        <v>671</v>
      </c>
      <c r="S167" s="1">
        <v>87</v>
      </c>
    </row>
    <row r="168" spans="1:19" x14ac:dyDescent="0.25">
      <c r="A168" s="1">
        <v>167</v>
      </c>
      <c r="B168" s="1" t="s">
        <v>207</v>
      </c>
      <c r="C168" s="1" t="s">
        <v>375</v>
      </c>
      <c r="D168" s="8">
        <v>2927100</v>
      </c>
      <c r="E168" s="13"/>
      <c r="G168" s="1" t="s">
        <v>546</v>
      </c>
      <c r="H168" s="7">
        <v>43826</v>
      </c>
      <c r="J168" s="1" t="s">
        <v>644</v>
      </c>
      <c r="N168" s="1">
        <v>12</v>
      </c>
      <c r="R168" s="1" t="s">
        <v>671</v>
      </c>
      <c r="S168" s="1">
        <v>87</v>
      </c>
    </row>
    <row r="169" spans="1:19" x14ac:dyDescent="0.25">
      <c r="A169" s="1">
        <v>168</v>
      </c>
      <c r="B169" s="1" t="s">
        <v>208</v>
      </c>
      <c r="C169" s="1" t="s">
        <v>375</v>
      </c>
      <c r="D169" s="8">
        <v>2927100</v>
      </c>
      <c r="E169" s="13"/>
      <c r="G169" s="1" t="s">
        <v>546</v>
      </c>
      <c r="H169" s="7">
        <v>43826</v>
      </c>
      <c r="J169" s="1" t="s">
        <v>644</v>
      </c>
      <c r="N169" s="1">
        <v>12</v>
      </c>
      <c r="R169" s="1" t="s">
        <v>671</v>
      </c>
      <c r="S169" s="1">
        <v>87</v>
      </c>
    </row>
    <row r="170" spans="1:19" x14ac:dyDescent="0.25">
      <c r="A170" s="1">
        <v>169</v>
      </c>
      <c r="B170" s="1" t="s">
        <v>209</v>
      </c>
      <c r="C170" s="1" t="s">
        <v>375</v>
      </c>
      <c r="D170" s="8">
        <v>2927100</v>
      </c>
      <c r="E170" s="13"/>
      <c r="G170" s="1" t="s">
        <v>546</v>
      </c>
      <c r="H170" s="7">
        <v>43826</v>
      </c>
      <c r="J170" s="1" t="s">
        <v>644</v>
      </c>
      <c r="N170" s="1">
        <v>12</v>
      </c>
      <c r="R170" s="1" t="s">
        <v>671</v>
      </c>
      <c r="S170" s="1">
        <v>87</v>
      </c>
    </row>
    <row r="171" spans="1:19" x14ac:dyDescent="0.25">
      <c r="A171" s="1">
        <v>170</v>
      </c>
      <c r="B171" s="1" t="s">
        <v>210</v>
      </c>
      <c r="C171" s="1" t="s">
        <v>375</v>
      </c>
      <c r="D171" s="8">
        <v>2927100</v>
      </c>
      <c r="E171" s="13"/>
      <c r="G171" s="1" t="s">
        <v>546</v>
      </c>
      <c r="H171" s="7">
        <v>43826</v>
      </c>
      <c r="J171" s="1" t="s">
        <v>644</v>
      </c>
      <c r="N171" s="1">
        <v>12</v>
      </c>
      <c r="R171" s="1" t="s">
        <v>671</v>
      </c>
      <c r="S171" s="1">
        <v>87</v>
      </c>
    </row>
    <row r="172" spans="1:19" x14ac:dyDescent="0.25">
      <c r="A172" s="1">
        <v>171</v>
      </c>
      <c r="B172" s="1" t="s">
        <v>211</v>
      </c>
      <c r="C172" s="1" t="s">
        <v>375</v>
      </c>
      <c r="D172" s="8">
        <v>2927100</v>
      </c>
      <c r="E172" s="13"/>
      <c r="G172" s="1" t="s">
        <v>546</v>
      </c>
      <c r="H172" s="7">
        <v>43826</v>
      </c>
      <c r="J172" s="1" t="s">
        <v>644</v>
      </c>
      <c r="N172" s="1">
        <v>12</v>
      </c>
      <c r="R172" s="1" t="s">
        <v>671</v>
      </c>
      <c r="S172" s="1">
        <v>87</v>
      </c>
    </row>
    <row r="173" spans="1:19" x14ac:dyDescent="0.25">
      <c r="A173" s="1">
        <v>172</v>
      </c>
      <c r="B173" s="1" t="s">
        <v>395</v>
      </c>
      <c r="C173" s="1" t="s">
        <v>375</v>
      </c>
      <c r="D173" s="8">
        <v>2927100</v>
      </c>
      <c r="E173" s="13"/>
      <c r="G173" s="1" t="s">
        <v>546</v>
      </c>
      <c r="H173" s="7">
        <v>43826</v>
      </c>
      <c r="J173" s="1" t="s">
        <v>644</v>
      </c>
      <c r="N173" s="1">
        <v>12</v>
      </c>
      <c r="R173" s="1" t="s">
        <v>671</v>
      </c>
      <c r="S173" s="1">
        <v>87</v>
      </c>
    </row>
    <row r="174" spans="1:19" x14ac:dyDescent="0.25">
      <c r="A174" s="1">
        <v>173</v>
      </c>
      <c r="B174" s="1" t="s">
        <v>212</v>
      </c>
      <c r="C174" s="1" t="s">
        <v>375</v>
      </c>
      <c r="D174" s="8">
        <v>2927100</v>
      </c>
      <c r="E174" s="13"/>
      <c r="G174" s="1" t="s">
        <v>546</v>
      </c>
      <c r="H174" s="7">
        <v>43826</v>
      </c>
      <c r="J174" s="1" t="s">
        <v>644</v>
      </c>
      <c r="N174" s="1">
        <v>12</v>
      </c>
      <c r="R174" s="1" t="s">
        <v>671</v>
      </c>
      <c r="S174" s="1">
        <v>87</v>
      </c>
    </row>
    <row r="175" spans="1:19" x14ac:dyDescent="0.25">
      <c r="A175" s="1">
        <v>174</v>
      </c>
      <c r="B175" s="1" t="s">
        <v>213</v>
      </c>
      <c r="C175" s="1" t="s">
        <v>375</v>
      </c>
      <c r="D175" s="8">
        <v>2927100</v>
      </c>
      <c r="E175" s="13"/>
      <c r="G175" s="1" t="s">
        <v>546</v>
      </c>
      <c r="H175" s="7">
        <v>43826</v>
      </c>
      <c r="J175" s="1" t="s">
        <v>644</v>
      </c>
      <c r="N175" s="1">
        <v>12</v>
      </c>
      <c r="R175" s="1" t="s">
        <v>671</v>
      </c>
      <c r="S175" s="1">
        <v>87</v>
      </c>
    </row>
    <row r="176" spans="1:19" x14ac:dyDescent="0.25">
      <c r="A176" s="1">
        <v>175</v>
      </c>
      <c r="B176" s="1" t="s">
        <v>214</v>
      </c>
      <c r="C176" s="1" t="s">
        <v>375</v>
      </c>
      <c r="D176" s="8">
        <v>2927100</v>
      </c>
      <c r="E176" s="13"/>
      <c r="G176" s="1" t="s">
        <v>546</v>
      </c>
      <c r="H176" s="7">
        <v>43826</v>
      </c>
      <c r="J176" s="1" t="s">
        <v>644</v>
      </c>
      <c r="N176" s="1">
        <v>12</v>
      </c>
      <c r="R176" s="1" t="s">
        <v>671</v>
      </c>
      <c r="S176" s="1">
        <v>87</v>
      </c>
    </row>
    <row r="177" spans="1:19" x14ac:dyDescent="0.25">
      <c r="A177" s="1">
        <v>176</v>
      </c>
      <c r="B177" s="1" t="s">
        <v>215</v>
      </c>
      <c r="C177" s="1" t="s">
        <v>375</v>
      </c>
      <c r="D177" s="8">
        <v>2927100</v>
      </c>
      <c r="E177" s="13"/>
      <c r="G177" s="1" t="s">
        <v>546</v>
      </c>
      <c r="H177" s="7">
        <v>43826</v>
      </c>
      <c r="J177" s="1" t="s">
        <v>644</v>
      </c>
      <c r="N177" s="1">
        <v>12</v>
      </c>
      <c r="R177" s="1" t="s">
        <v>671</v>
      </c>
      <c r="S177" s="1">
        <v>87</v>
      </c>
    </row>
    <row r="178" spans="1:19" x14ac:dyDescent="0.25">
      <c r="A178" s="1">
        <v>177</v>
      </c>
      <c r="B178" s="1" t="s">
        <v>216</v>
      </c>
      <c r="C178" s="1" t="s">
        <v>375</v>
      </c>
      <c r="D178" s="8">
        <v>2927100</v>
      </c>
      <c r="E178" s="13"/>
      <c r="G178" s="1" t="s">
        <v>546</v>
      </c>
      <c r="H178" s="7">
        <v>43826</v>
      </c>
      <c r="J178" s="1" t="s">
        <v>644</v>
      </c>
      <c r="N178" s="1">
        <v>12</v>
      </c>
      <c r="R178" s="1" t="s">
        <v>671</v>
      </c>
      <c r="S178" s="1">
        <v>87</v>
      </c>
    </row>
    <row r="179" spans="1:19" x14ac:dyDescent="0.25">
      <c r="A179" s="1">
        <v>178</v>
      </c>
      <c r="B179" s="1" t="s">
        <v>217</v>
      </c>
      <c r="C179" s="1" t="s">
        <v>375</v>
      </c>
      <c r="D179" s="8">
        <v>2927100</v>
      </c>
      <c r="E179" s="13"/>
      <c r="G179" s="1" t="s">
        <v>546</v>
      </c>
      <c r="H179" s="7">
        <v>43826</v>
      </c>
      <c r="J179" s="1" t="s">
        <v>644</v>
      </c>
      <c r="N179" s="1">
        <v>12</v>
      </c>
      <c r="R179" s="1" t="s">
        <v>671</v>
      </c>
      <c r="S179" s="1">
        <v>87</v>
      </c>
    </row>
    <row r="180" spans="1:19" x14ac:dyDescent="0.25">
      <c r="A180" s="1">
        <v>179</v>
      </c>
      <c r="B180" s="1" t="s">
        <v>218</v>
      </c>
      <c r="C180" s="1" t="s">
        <v>375</v>
      </c>
      <c r="D180" s="8">
        <v>2927100</v>
      </c>
      <c r="E180" s="13"/>
      <c r="G180" s="1" t="s">
        <v>546</v>
      </c>
      <c r="H180" s="7">
        <v>43826</v>
      </c>
      <c r="J180" s="1" t="s">
        <v>644</v>
      </c>
      <c r="N180" s="1">
        <v>12</v>
      </c>
      <c r="R180" s="1" t="s">
        <v>671</v>
      </c>
      <c r="S180" s="1">
        <v>87</v>
      </c>
    </row>
    <row r="181" spans="1:19" x14ac:dyDescent="0.25">
      <c r="A181" s="1">
        <v>180</v>
      </c>
      <c r="B181" s="1" t="s">
        <v>219</v>
      </c>
      <c r="C181" s="1" t="s">
        <v>375</v>
      </c>
      <c r="D181" s="8">
        <v>2927100</v>
      </c>
      <c r="E181" s="13"/>
      <c r="G181" s="1" t="s">
        <v>546</v>
      </c>
      <c r="H181" s="7">
        <v>43826</v>
      </c>
      <c r="J181" s="1" t="s">
        <v>644</v>
      </c>
      <c r="N181" s="1">
        <v>12</v>
      </c>
      <c r="R181" s="1" t="s">
        <v>671</v>
      </c>
      <c r="S181" s="1">
        <v>87</v>
      </c>
    </row>
    <row r="182" spans="1:19" x14ac:dyDescent="0.25">
      <c r="A182" s="1">
        <v>181</v>
      </c>
      <c r="B182" s="1" t="s">
        <v>220</v>
      </c>
      <c r="C182" s="1" t="s">
        <v>375</v>
      </c>
      <c r="D182" s="8">
        <v>2927100</v>
      </c>
      <c r="E182" s="13"/>
      <c r="G182" s="1" t="s">
        <v>546</v>
      </c>
      <c r="H182" s="7">
        <v>43826</v>
      </c>
      <c r="J182" s="1" t="s">
        <v>644</v>
      </c>
      <c r="N182" s="1">
        <v>12</v>
      </c>
      <c r="R182" s="1" t="s">
        <v>671</v>
      </c>
      <c r="S182" s="1">
        <v>87</v>
      </c>
    </row>
    <row r="183" spans="1:19" x14ac:dyDescent="0.25">
      <c r="A183" s="1">
        <v>182</v>
      </c>
      <c r="B183" s="1" t="s">
        <v>221</v>
      </c>
      <c r="C183" s="1" t="s">
        <v>375</v>
      </c>
      <c r="D183" s="8">
        <v>2927100</v>
      </c>
      <c r="E183" s="13"/>
      <c r="G183" s="1" t="s">
        <v>546</v>
      </c>
      <c r="H183" s="7">
        <v>43826</v>
      </c>
      <c r="J183" s="1" t="s">
        <v>644</v>
      </c>
      <c r="N183" s="1">
        <v>12</v>
      </c>
      <c r="R183" s="1" t="s">
        <v>671</v>
      </c>
      <c r="S183" s="1">
        <v>87</v>
      </c>
    </row>
    <row r="184" spans="1:19" x14ac:dyDescent="0.25">
      <c r="A184" s="1">
        <v>183</v>
      </c>
      <c r="B184" s="1" t="s">
        <v>222</v>
      </c>
      <c r="C184" s="1" t="s">
        <v>375</v>
      </c>
      <c r="D184" s="8">
        <v>2927100</v>
      </c>
      <c r="E184" s="13"/>
      <c r="G184" s="1" t="s">
        <v>546</v>
      </c>
      <c r="H184" s="7">
        <v>43826</v>
      </c>
      <c r="J184" s="1" t="s">
        <v>644</v>
      </c>
      <c r="N184" s="1">
        <v>12</v>
      </c>
      <c r="R184" s="1" t="s">
        <v>671</v>
      </c>
      <c r="S184" s="1">
        <v>87</v>
      </c>
    </row>
    <row r="185" spans="1:19" x14ac:dyDescent="0.25">
      <c r="A185" s="1">
        <v>184</v>
      </c>
      <c r="B185" s="1" t="s">
        <v>223</v>
      </c>
      <c r="C185" s="1" t="s">
        <v>375</v>
      </c>
      <c r="D185" s="8">
        <v>2927100</v>
      </c>
      <c r="E185" s="13"/>
      <c r="G185" s="1" t="s">
        <v>546</v>
      </c>
      <c r="H185" s="7">
        <v>43826</v>
      </c>
      <c r="J185" s="1" t="s">
        <v>644</v>
      </c>
      <c r="N185" s="1">
        <v>12</v>
      </c>
      <c r="R185" s="1" t="s">
        <v>671</v>
      </c>
      <c r="S185" s="1">
        <v>87</v>
      </c>
    </row>
    <row r="186" spans="1:19" x14ac:dyDescent="0.25">
      <c r="A186" s="1">
        <v>185</v>
      </c>
      <c r="B186" s="1" t="s">
        <v>224</v>
      </c>
      <c r="C186" s="1" t="s">
        <v>375</v>
      </c>
      <c r="D186" s="8">
        <v>2927100</v>
      </c>
      <c r="E186" s="13"/>
      <c r="G186" s="1" t="s">
        <v>546</v>
      </c>
      <c r="H186" s="7">
        <v>43826</v>
      </c>
      <c r="J186" s="1" t="s">
        <v>644</v>
      </c>
      <c r="N186" s="1">
        <v>12</v>
      </c>
      <c r="R186" s="1" t="s">
        <v>671</v>
      </c>
      <c r="S186" s="1">
        <v>87</v>
      </c>
    </row>
    <row r="187" spans="1:19" x14ac:dyDescent="0.25">
      <c r="A187" s="1">
        <v>186</v>
      </c>
      <c r="B187" s="1" t="s">
        <v>225</v>
      </c>
      <c r="C187" s="1" t="s">
        <v>375</v>
      </c>
      <c r="D187" s="8">
        <v>2927100</v>
      </c>
      <c r="E187" s="13"/>
      <c r="G187" s="1" t="s">
        <v>546</v>
      </c>
      <c r="H187" s="7">
        <v>43826</v>
      </c>
      <c r="J187" s="1" t="s">
        <v>644</v>
      </c>
      <c r="N187" s="1">
        <v>12</v>
      </c>
      <c r="R187" s="1" t="s">
        <v>671</v>
      </c>
      <c r="S187" s="1">
        <v>87</v>
      </c>
    </row>
    <row r="188" spans="1:19" x14ac:dyDescent="0.25">
      <c r="A188" s="1">
        <v>187</v>
      </c>
      <c r="B188" s="1" t="s">
        <v>226</v>
      </c>
      <c r="C188" s="1" t="s">
        <v>375</v>
      </c>
      <c r="D188" s="8">
        <v>2927100</v>
      </c>
      <c r="E188" s="13"/>
      <c r="G188" s="1" t="s">
        <v>546</v>
      </c>
      <c r="H188" s="7">
        <v>43826</v>
      </c>
      <c r="J188" s="1" t="s">
        <v>644</v>
      </c>
      <c r="N188" s="1">
        <v>12</v>
      </c>
      <c r="R188" s="1" t="s">
        <v>671</v>
      </c>
      <c r="S188" s="1">
        <v>87</v>
      </c>
    </row>
    <row r="189" spans="1:19" x14ac:dyDescent="0.25">
      <c r="A189" s="1">
        <v>188</v>
      </c>
      <c r="B189" s="1" t="s">
        <v>227</v>
      </c>
      <c r="C189" s="1" t="s">
        <v>375</v>
      </c>
      <c r="D189" s="8">
        <v>2927100</v>
      </c>
      <c r="E189" s="13"/>
      <c r="G189" s="1" t="s">
        <v>546</v>
      </c>
      <c r="H189" s="7">
        <v>43826</v>
      </c>
      <c r="J189" s="1" t="s">
        <v>644</v>
      </c>
      <c r="N189" s="1">
        <v>12</v>
      </c>
      <c r="R189" s="1" t="s">
        <v>671</v>
      </c>
      <c r="S189" s="1">
        <v>87</v>
      </c>
    </row>
    <row r="190" spans="1:19" x14ac:dyDescent="0.25">
      <c r="A190" s="1">
        <v>189</v>
      </c>
      <c r="B190" s="1" t="s">
        <v>228</v>
      </c>
      <c r="C190" s="1" t="s">
        <v>375</v>
      </c>
      <c r="D190" s="8">
        <v>2927100</v>
      </c>
      <c r="E190" s="13"/>
      <c r="G190" s="1" t="s">
        <v>546</v>
      </c>
      <c r="H190" s="7">
        <v>43826</v>
      </c>
      <c r="J190" s="1" t="s">
        <v>644</v>
      </c>
      <c r="N190" s="1">
        <v>12</v>
      </c>
      <c r="R190" s="1" t="s">
        <v>671</v>
      </c>
      <c r="S190" s="1">
        <v>87</v>
      </c>
    </row>
    <row r="191" spans="1:19" x14ac:dyDescent="0.25">
      <c r="A191" s="1">
        <v>190</v>
      </c>
      <c r="B191" s="1" t="s">
        <v>229</v>
      </c>
      <c r="C191" s="1" t="s">
        <v>375</v>
      </c>
      <c r="D191" s="8">
        <v>2927100</v>
      </c>
      <c r="E191" s="13"/>
      <c r="G191" s="1" t="s">
        <v>546</v>
      </c>
      <c r="H191" s="7">
        <v>43826</v>
      </c>
      <c r="J191" s="1" t="s">
        <v>644</v>
      </c>
      <c r="N191" s="1">
        <v>12</v>
      </c>
      <c r="R191" s="1" t="s">
        <v>671</v>
      </c>
      <c r="S191" s="1">
        <v>87</v>
      </c>
    </row>
    <row r="192" spans="1:19" x14ac:dyDescent="0.25">
      <c r="A192" s="1">
        <v>191</v>
      </c>
      <c r="B192" s="1" t="s">
        <v>230</v>
      </c>
      <c r="C192" s="1" t="s">
        <v>375</v>
      </c>
      <c r="D192" s="8">
        <v>2927100</v>
      </c>
      <c r="E192" s="13"/>
      <c r="G192" s="1" t="s">
        <v>546</v>
      </c>
      <c r="H192" s="7">
        <v>43826</v>
      </c>
      <c r="J192" s="1" t="s">
        <v>644</v>
      </c>
      <c r="N192" s="1">
        <v>12</v>
      </c>
      <c r="R192" s="1" t="s">
        <v>671</v>
      </c>
      <c r="S192" s="1">
        <v>87</v>
      </c>
    </row>
    <row r="193" spans="1:19" x14ac:dyDescent="0.25">
      <c r="A193" s="1">
        <v>192</v>
      </c>
      <c r="B193" s="1" t="s">
        <v>231</v>
      </c>
      <c r="C193" s="1" t="s">
        <v>375</v>
      </c>
      <c r="D193" s="8">
        <v>2927100</v>
      </c>
      <c r="E193" s="13"/>
      <c r="G193" s="1" t="s">
        <v>546</v>
      </c>
      <c r="H193" s="7">
        <v>43826</v>
      </c>
      <c r="J193" s="1" t="s">
        <v>644</v>
      </c>
      <c r="N193" s="1">
        <v>12</v>
      </c>
      <c r="R193" s="1" t="s">
        <v>671</v>
      </c>
      <c r="S193" s="1">
        <v>87</v>
      </c>
    </row>
    <row r="194" spans="1:19" x14ac:dyDescent="0.25">
      <c r="A194" s="1">
        <v>193</v>
      </c>
      <c r="B194" s="1" t="s">
        <v>232</v>
      </c>
      <c r="C194" s="1" t="s">
        <v>375</v>
      </c>
      <c r="D194" s="8">
        <v>2927100</v>
      </c>
      <c r="E194" s="13"/>
      <c r="G194" s="1" t="s">
        <v>546</v>
      </c>
      <c r="H194" s="7">
        <v>43826</v>
      </c>
      <c r="J194" s="1" t="s">
        <v>644</v>
      </c>
      <c r="N194" s="1">
        <v>12</v>
      </c>
      <c r="R194" s="1" t="s">
        <v>671</v>
      </c>
      <c r="S194" s="1">
        <v>87</v>
      </c>
    </row>
    <row r="195" spans="1:19" x14ac:dyDescent="0.25">
      <c r="A195" s="1">
        <v>194</v>
      </c>
      <c r="B195" s="1" t="s">
        <v>233</v>
      </c>
      <c r="C195" s="1" t="s">
        <v>376</v>
      </c>
      <c r="D195" s="8">
        <v>10587500</v>
      </c>
      <c r="E195" s="13" t="s">
        <v>645</v>
      </c>
      <c r="G195" s="1" t="s">
        <v>546</v>
      </c>
      <c r="H195" s="7">
        <v>43826</v>
      </c>
      <c r="J195" s="1" t="s">
        <v>646</v>
      </c>
      <c r="N195" s="1">
        <v>12</v>
      </c>
      <c r="R195" s="1" t="s">
        <v>671</v>
      </c>
      <c r="S195" s="1">
        <v>87</v>
      </c>
    </row>
    <row r="196" spans="1:19" x14ac:dyDescent="0.25">
      <c r="A196" s="1">
        <v>195</v>
      </c>
      <c r="B196" s="1" t="s">
        <v>234</v>
      </c>
      <c r="C196" s="1" t="s">
        <v>376</v>
      </c>
      <c r="D196" s="8">
        <v>10587500</v>
      </c>
      <c r="E196" s="13" t="s">
        <v>647</v>
      </c>
      <c r="G196" s="1" t="s">
        <v>546</v>
      </c>
      <c r="H196" s="7">
        <v>43826</v>
      </c>
      <c r="J196" s="1" t="s">
        <v>646</v>
      </c>
      <c r="N196" s="1">
        <v>12</v>
      </c>
      <c r="R196" s="1" t="s">
        <v>671</v>
      </c>
      <c r="S196" s="1">
        <v>87</v>
      </c>
    </row>
    <row r="197" spans="1:19" x14ac:dyDescent="0.25">
      <c r="A197" s="1">
        <v>196</v>
      </c>
      <c r="B197" s="1" t="s">
        <v>235</v>
      </c>
      <c r="C197" s="1" t="s">
        <v>376</v>
      </c>
      <c r="D197" s="8">
        <v>10587500</v>
      </c>
      <c r="E197" s="13" t="s">
        <v>648</v>
      </c>
      <c r="G197" s="1" t="s">
        <v>546</v>
      </c>
      <c r="H197" s="7">
        <v>43826</v>
      </c>
      <c r="J197" s="1" t="s">
        <v>646</v>
      </c>
      <c r="N197" s="1">
        <v>12</v>
      </c>
      <c r="R197" s="1" t="s">
        <v>671</v>
      </c>
      <c r="S197" s="1">
        <v>87</v>
      </c>
    </row>
    <row r="198" spans="1:19" x14ac:dyDescent="0.25">
      <c r="A198" s="1">
        <v>197</v>
      </c>
      <c r="B198" s="1" t="s">
        <v>236</v>
      </c>
      <c r="C198" s="1" t="s">
        <v>376</v>
      </c>
      <c r="D198" s="8">
        <v>10587500</v>
      </c>
      <c r="E198" s="13" t="s">
        <v>649</v>
      </c>
      <c r="G198" s="1" t="s">
        <v>546</v>
      </c>
      <c r="H198" s="7">
        <v>43826</v>
      </c>
      <c r="J198" s="1" t="s">
        <v>646</v>
      </c>
      <c r="N198" s="1">
        <v>12</v>
      </c>
      <c r="R198" s="1" t="s">
        <v>671</v>
      </c>
      <c r="S198" s="1">
        <v>87</v>
      </c>
    </row>
    <row r="199" spans="1:19" x14ac:dyDescent="0.25">
      <c r="A199" s="1">
        <v>198</v>
      </c>
      <c r="B199" s="1" t="s">
        <v>237</v>
      </c>
      <c r="C199" s="1" t="s">
        <v>376</v>
      </c>
      <c r="D199" s="8">
        <v>10587500</v>
      </c>
      <c r="E199" s="13" t="s">
        <v>650</v>
      </c>
      <c r="G199" s="1" t="s">
        <v>546</v>
      </c>
      <c r="H199" s="7">
        <v>43826</v>
      </c>
      <c r="J199" s="1" t="s">
        <v>646</v>
      </c>
      <c r="N199" s="1">
        <v>12</v>
      </c>
      <c r="R199" s="1" t="s">
        <v>671</v>
      </c>
      <c r="S199" s="1">
        <v>87</v>
      </c>
    </row>
    <row r="200" spans="1:19" x14ac:dyDescent="0.25">
      <c r="A200" s="1">
        <v>199</v>
      </c>
      <c r="B200" s="1" t="s">
        <v>238</v>
      </c>
      <c r="C200" s="1" t="s">
        <v>375</v>
      </c>
      <c r="D200" s="8">
        <f>2754500*1.08</f>
        <v>2974860</v>
      </c>
      <c r="E200" s="13"/>
      <c r="G200" s="1" t="s">
        <v>546</v>
      </c>
      <c r="H200" s="7">
        <v>44922</v>
      </c>
      <c r="J200" s="1" t="s">
        <v>644</v>
      </c>
      <c r="N200" s="1">
        <v>12</v>
      </c>
      <c r="R200" s="1" t="s">
        <v>671</v>
      </c>
      <c r="S200" s="1">
        <v>87</v>
      </c>
    </row>
    <row r="201" spans="1:19" x14ac:dyDescent="0.25">
      <c r="A201" s="1">
        <v>200</v>
      </c>
      <c r="B201" s="1" t="s">
        <v>239</v>
      </c>
      <c r="C201" s="1" t="s">
        <v>377</v>
      </c>
      <c r="D201" s="8"/>
      <c r="E201" s="13"/>
      <c r="G201" s="1" t="s">
        <v>651</v>
      </c>
      <c r="H201" s="7"/>
      <c r="J201" s="1" t="s">
        <v>652</v>
      </c>
      <c r="N201" s="1">
        <v>12</v>
      </c>
      <c r="R201" s="1" t="s">
        <v>677</v>
      </c>
    </row>
    <row r="202" spans="1:19" x14ac:dyDescent="0.25">
      <c r="A202" s="1">
        <v>201</v>
      </c>
      <c r="B202" s="1" t="s">
        <v>240</v>
      </c>
      <c r="C202" s="1" t="s">
        <v>377</v>
      </c>
      <c r="D202" s="8"/>
      <c r="E202" s="13"/>
      <c r="G202" s="1" t="s">
        <v>653</v>
      </c>
      <c r="H202" s="7"/>
      <c r="J202" s="1" t="s">
        <v>654</v>
      </c>
      <c r="N202" s="1">
        <v>12</v>
      </c>
      <c r="R202" s="1" t="s">
        <v>677</v>
      </c>
    </row>
    <row r="203" spans="1:19" x14ac:dyDescent="0.25">
      <c r="A203" s="1">
        <v>202</v>
      </c>
      <c r="B203" s="1" t="s">
        <v>241</v>
      </c>
      <c r="C203" s="1" t="s">
        <v>377</v>
      </c>
      <c r="D203" s="8"/>
      <c r="E203" s="13"/>
      <c r="G203" s="1" t="s">
        <v>653</v>
      </c>
      <c r="H203" s="7"/>
      <c r="J203" s="1" t="s">
        <v>654</v>
      </c>
      <c r="N203" s="1">
        <v>12</v>
      </c>
      <c r="R203" s="1" t="s">
        <v>677</v>
      </c>
    </row>
    <row r="204" spans="1:19" x14ac:dyDescent="0.25">
      <c r="A204" s="1">
        <v>203</v>
      </c>
      <c r="B204" s="1" t="s">
        <v>242</v>
      </c>
      <c r="C204" s="1" t="s">
        <v>377</v>
      </c>
      <c r="D204" s="8"/>
      <c r="E204" s="13"/>
      <c r="G204" s="1" t="s">
        <v>653</v>
      </c>
      <c r="H204" s="7"/>
      <c r="J204" s="1" t="s">
        <v>654</v>
      </c>
      <c r="N204" s="1">
        <v>12</v>
      </c>
      <c r="R204" s="1" t="s">
        <v>677</v>
      </c>
    </row>
    <row r="205" spans="1:19" x14ac:dyDescent="0.25">
      <c r="A205" s="1">
        <v>204</v>
      </c>
      <c r="B205" s="1" t="s">
        <v>243</v>
      </c>
      <c r="C205" s="1" t="s">
        <v>377</v>
      </c>
      <c r="D205" s="8"/>
      <c r="E205" s="13"/>
      <c r="G205" s="1" t="s">
        <v>408</v>
      </c>
      <c r="H205" s="7"/>
      <c r="N205" s="1">
        <v>12</v>
      </c>
      <c r="R205" s="1" t="s">
        <v>677</v>
      </c>
    </row>
    <row r="206" spans="1:19" x14ac:dyDescent="0.25">
      <c r="A206" s="1">
        <v>205</v>
      </c>
      <c r="B206" s="1" t="s">
        <v>244</v>
      </c>
      <c r="C206" s="1" t="s">
        <v>377</v>
      </c>
      <c r="D206" s="8"/>
      <c r="E206" s="13"/>
      <c r="G206" s="1" t="s">
        <v>408</v>
      </c>
      <c r="H206" s="7"/>
      <c r="N206" s="1">
        <v>12</v>
      </c>
      <c r="R206" s="1" t="s">
        <v>677</v>
      </c>
    </row>
    <row r="207" spans="1:19" x14ac:dyDescent="0.25">
      <c r="A207" s="1">
        <v>206</v>
      </c>
      <c r="B207" s="1" t="s">
        <v>245</v>
      </c>
      <c r="C207" s="1" t="s">
        <v>377</v>
      </c>
      <c r="D207" s="8"/>
      <c r="E207" s="13"/>
      <c r="H207" s="7"/>
      <c r="J207" s="1" t="s">
        <v>654</v>
      </c>
      <c r="N207" s="1">
        <v>12</v>
      </c>
      <c r="R207" s="1" t="s">
        <v>677</v>
      </c>
    </row>
    <row r="208" spans="1:19" x14ac:dyDescent="0.25">
      <c r="A208" s="1">
        <v>207</v>
      </c>
      <c r="B208" s="1" t="s">
        <v>246</v>
      </c>
      <c r="C208" s="1" t="s">
        <v>377</v>
      </c>
      <c r="D208" s="8"/>
      <c r="E208" s="13"/>
      <c r="G208" s="1" t="s">
        <v>497</v>
      </c>
      <c r="H208" s="7"/>
      <c r="N208" s="1">
        <v>12</v>
      </c>
      <c r="R208" s="1" t="s">
        <v>677</v>
      </c>
    </row>
    <row r="209" spans="1:18" x14ac:dyDescent="0.25">
      <c r="A209" s="1">
        <v>208</v>
      </c>
      <c r="B209" s="1" t="s">
        <v>247</v>
      </c>
      <c r="C209" s="1" t="s">
        <v>377</v>
      </c>
      <c r="D209" s="8"/>
      <c r="E209" s="13"/>
      <c r="H209" s="7"/>
      <c r="J209" s="1" t="s">
        <v>655</v>
      </c>
      <c r="N209" s="1">
        <v>12</v>
      </c>
      <c r="R209" s="1" t="s">
        <v>677</v>
      </c>
    </row>
    <row r="210" spans="1:18" x14ac:dyDescent="0.25">
      <c r="A210" s="1">
        <v>209</v>
      </c>
      <c r="B210" s="1" t="s">
        <v>248</v>
      </c>
      <c r="C210" s="1" t="s">
        <v>377</v>
      </c>
      <c r="D210" s="8"/>
      <c r="E210" s="13"/>
      <c r="H210" s="7"/>
      <c r="J210" s="1" t="s">
        <v>655</v>
      </c>
      <c r="N210" s="1">
        <v>12</v>
      </c>
      <c r="R210" s="1" t="s">
        <v>677</v>
      </c>
    </row>
    <row r="211" spans="1:18" x14ac:dyDescent="0.25">
      <c r="A211" s="1">
        <v>210</v>
      </c>
      <c r="B211" s="1" t="s">
        <v>249</v>
      </c>
      <c r="C211" s="1" t="s">
        <v>377</v>
      </c>
      <c r="D211" s="8"/>
      <c r="E211" s="13" t="s">
        <v>656</v>
      </c>
      <c r="G211" s="1" t="s">
        <v>657</v>
      </c>
      <c r="H211" s="7"/>
      <c r="J211" s="1" t="s">
        <v>658</v>
      </c>
      <c r="N211" s="1">
        <v>12</v>
      </c>
      <c r="R211" s="1" t="s">
        <v>677</v>
      </c>
    </row>
    <row r="212" spans="1:18" x14ac:dyDescent="0.25">
      <c r="A212" s="1">
        <v>211</v>
      </c>
      <c r="B212" s="1" t="s">
        <v>250</v>
      </c>
      <c r="C212" s="1" t="s">
        <v>377</v>
      </c>
      <c r="D212" s="8"/>
      <c r="E212" s="13" t="s">
        <v>656</v>
      </c>
      <c r="G212" s="1" t="s">
        <v>657</v>
      </c>
      <c r="H212" s="7"/>
      <c r="J212" s="1" t="s">
        <v>658</v>
      </c>
      <c r="N212" s="1">
        <v>12</v>
      </c>
      <c r="R212" s="1" t="s">
        <v>677</v>
      </c>
    </row>
    <row r="213" spans="1:18" x14ac:dyDescent="0.25">
      <c r="A213" s="1">
        <v>212</v>
      </c>
      <c r="B213" s="1" t="s">
        <v>251</v>
      </c>
      <c r="C213" s="1" t="s">
        <v>377</v>
      </c>
      <c r="D213" s="8"/>
      <c r="E213" s="13" t="s">
        <v>656</v>
      </c>
      <c r="G213" s="1" t="s">
        <v>657</v>
      </c>
      <c r="H213" s="7"/>
      <c r="J213" s="1" t="s">
        <v>658</v>
      </c>
      <c r="N213" s="1">
        <v>12</v>
      </c>
      <c r="R213" s="1" t="s">
        <v>677</v>
      </c>
    </row>
    <row r="214" spans="1:18" x14ac:dyDescent="0.25">
      <c r="A214" s="1">
        <v>213</v>
      </c>
      <c r="B214" s="1" t="s">
        <v>252</v>
      </c>
      <c r="C214" s="1" t="s">
        <v>377</v>
      </c>
      <c r="D214" s="8"/>
      <c r="E214" s="13" t="s">
        <v>656</v>
      </c>
      <c r="G214" s="1" t="s">
        <v>657</v>
      </c>
      <c r="H214" s="7"/>
      <c r="J214" s="1" t="s">
        <v>658</v>
      </c>
      <c r="N214" s="1">
        <v>12</v>
      </c>
      <c r="R214" s="1" t="s">
        <v>677</v>
      </c>
    </row>
    <row r="215" spans="1:18" x14ac:dyDescent="0.25">
      <c r="A215" s="1">
        <v>214</v>
      </c>
      <c r="B215" s="1" t="s">
        <v>253</v>
      </c>
      <c r="C215" s="1" t="s">
        <v>377</v>
      </c>
      <c r="D215" s="8"/>
      <c r="E215" s="13" t="s">
        <v>656</v>
      </c>
      <c r="G215" s="1" t="s">
        <v>657</v>
      </c>
      <c r="H215" s="7"/>
      <c r="J215" s="1" t="s">
        <v>658</v>
      </c>
      <c r="N215" s="1">
        <v>12</v>
      </c>
      <c r="R215" s="1" t="s">
        <v>677</v>
      </c>
    </row>
    <row r="216" spans="1:18" x14ac:dyDescent="0.25">
      <c r="A216" s="1">
        <v>215</v>
      </c>
      <c r="B216" s="1" t="s">
        <v>254</v>
      </c>
      <c r="C216" s="1" t="s">
        <v>377</v>
      </c>
      <c r="D216" s="8"/>
      <c r="E216" s="13" t="s">
        <v>656</v>
      </c>
      <c r="G216" s="1" t="s">
        <v>657</v>
      </c>
      <c r="H216" s="7"/>
      <c r="J216" s="1" t="s">
        <v>658</v>
      </c>
      <c r="N216" s="1">
        <v>12</v>
      </c>
      <c r="R216" s="1" t="s">
        <v>677</v>
      </c>
    </row>
    <row r="217" spans="1:18" x14ac:dyDescent="0.25">
      <c r="A217" s="1">
        <v>216</v>
      </c>
      <c r="B217" s="1" t="s">
        <v>255</v>
      </c>
      <c r="C217" s="1" t="s">
        <v>377</v>
      </c>
      <c r="D217" s="8"/>
      <c r="E217" s="13" t="s">
        <v>656</v>
      </c>
      <c r="G217" s="1" t="s">
        <v>657</v>
      </c>
      <c r="H217" s="7"/>
      <c r="J217" s="1" t="s">
        <v>658</v>
      </c>
      <c r="N217" s="1">
        <v>12</v>
      </c>
      <c r="R217" s="1" t="s">
        <v>677</v>
      </c>
    </row>
    <row r="218" spans="1:18" x14ac:dyDescent="0.25">
      <c r="A218" s="1">
        <v>217</v>
      </c>
      <c r="B218" s="1" t="s">
        <v>256</v>
      </c>
      <c r="C218" s="1" t="s">
        <v>377</v>
      </c>
      <c r="D218" s="8"/>
      <c r="E218" s="13" t="s">
        <v>656</v>
      </c>
      <c r="G218" s="1" t="s">
        <v>657</v>
      </c>
      <c r="H218" s="7"/>
      <c r="J218" s="1" t="s">
        <v>658</v>
      </c>
      <c r="N218" s="1">
        <v>12</v>
      </c>
      <c r="R218" s="1" t="s">
        <v>677</v>
      </c>
    </row>
    <row r="219" spans="1:18" x14ac:dyDescent="0.25">
      <c r="A219" s="1">
        <v>218</v>
      </c>
      <c r="B219" s="1" t="s">
        <v>257</v>
      </c>
      <c r="C219" s="1" t="s">
        <v>377</v>
      </c>
      <c r="D219" s="8"/>
      <c r="E219" s="13" t="s">
        <v>656</v>
      </c>
      <c r="G219" s="1" t="s">
        <v>657</v>
      </c>
      <c r="H219" s="7"/>
      <c r="J219" s="1" t="s">
        <v>658</v>
      </c>
      <c r="N219" s="1">
        <v>12</v>
      </c>
      <c r="R219" s="1" t="s">
        <v>677</v>
      </c>
    </row>
    <row r="220" spans="1:18" x14ac:dyDescent="0.25">
      <c r="A220" s="1">
        <v>219</v>
      </c>
      <c r="B220" s="1" t="s">
        <v>258</v>
      </c>
      <c r="C220" s="1" t="s">
        <v>377</v>
      </c>
      <c r="D220" s="8"/>
      <c r="E220" s="13" t="s">
        <v>656</v>
      </c>
      <c r="G220" s="1" t="s">
        <v>657</v>
      </c>
      <c r="H220" s="7"/>
      <c r="J220" s="1" t="s">
        <v>658</v>
      </c>
      <c r="N220" s="1">
        <v>12</v>
      </c>
      <c r="R220" s="1" t="s">
        <v>677</v>
      </c>
    </row>
    <row r="221" spans="1:18" x14ac:dyDescent="0.25">
      <c r="A221" s="1">
        <v>220</v>
      </c>
      <c r="B221" s="1" t="s">
        <v>259</v>
      </c>
      <c r="C221" s="1" t="s">
        <v>377</v>
      </c>
      <c r="D221" s="8"/>
      <c r="E221" s="13" t="s">
        <v>656</v>
      </c>
      <c r="G221" s="1" t="s">
        <v>657</v>
      </c>
      <c r="H221" s="7"/>
      <c r="J221" s="1" t="s">
        <v>658</v>
      </c>
      <c r="N221" s="1">
        <v>12</v>
      </c>
      <c r="R221" s="1" t="s">
        <v>677</v>
      </c>
    </row>
    <row r="222" spans="1:18" x14ac:dyDescent="0.25">
      <c r="A222" s="1">
        <v>221</v>
      </c>
      <c r="B222" s="1" t="s">
        <v>260</v>
      </c>
      <c r="C222" s="1" t="s">
        <v>377</v>
      </c>
      <c r="D222" s="8"/>
      <c r="E222" s="13" t="s">
        <v>656</v>
      </c>
      <c r="G222" s="1" t="s">
        <v>657</v>
      </c>
      <c r="H222" s="7"/>
      <c r="J222" s="1" t="s">
        <v>658</v>
      </c>
      <c r="N222" s="1">
        <v>12</v>
      </c>
      <c r="R222" s="1" t="s">
        <v>677</v>
      </c>
    </row>
    <row r="223" spans="1:18" x14ac:dyDescent="0.25">
      <c r="A223" s="1">
        <v>222</v>
      </c>
      <c r="B223" s="1" t="s">
        <v>261</v>
      </c>
      <c r="C223" s="1" t="s">
        <v>377</v>
      </c>
      <c r="D223" s="8"/>
      <c r="E223" s="13" t="s">
        <v>656</v>
      </c>
      <c r="G223" s="1" t="s">
        <v>657</v>
      </c>
      <c r="H223" s="7"/>
      <c r="J223" s="1" t="s">
        <v>658</v>
      </c>
      <c r="N223" s="1">
        <v>12</v>
      </c>
      <c r="R223" s="1" t="s">
        <v>677</v>
      </c>
    </row>
    <row r="224" spans="1:18" x14ac:dyDescent="0.25">
      <c r="A224" s="1">
        <v>223</v>
      </c>
      <c r="B224" s="1" t="s">
        <v>262</v>
      </c>
      <c r="C224" s="1" t="s">
        <v>377</v>
      </c>
      <c r="D224" s="8"/>
      <c r="E224" s="13" t="s">
        <v>656</v>
      </c>
      <c r="G224" s="1" t="s">
        <v>657</v>
      </c>
      <c r="H224" s="7"/>
      <c r="J224" s="1" t="s">
        <v>658</v>
      </c>
      <c r="N224" s="1">
        <v>12</v>
      </c>
      <c r="R224" s="1" t="s">
        <v>677</v>
      </c>
    </row>
    <row r="225" spans="1:18" x14ac:dyDescent="0.25">
      <c r="A225" s="1">
        <v>224</v>
      </c>
      <c r="B225" s="1" t="s">
        <v>263</v>
      </c>
      <c r="C225" s="1" t="s">
        <v>377</v>
      </c>
      <c r="D225" s="8"/>
      <c r="E225" s="13" t="s">
        <v>656</v>
      </c>
      <c r="G225" s="1" t="s">
        <v>657</v>
      </c>
      <c r="H225" s="7"/>
      <c r="J225" s="1" t="s">
        <v>658</v>
      </c>
      <c r="N225" s="1">
        <v>12</v>
      </c>
      <c r="R225" s="1" t="s">
        <v>677</v>
      </c>
    </row>
    <row r="226" spans="1:18" x14ac:dyDescent="0.25">
      <c r="A226" s="1">
        <v>225</v>
      </c>
      <c r="B226" s="1" t="s">
        <v>264</v>
      </c>
      <c r="C226" s="1" t="s">
        <v>377</v>
      </c>
      <c r="D226" s="8"/>
      <c r="E226" s="13" t="s">
        <v>656</v>
      </c>
      <c r="G226" s="1" t="s">
        <v>657</v>
      </c>
      <c r="H226" s="7"/>
      <c r="J226" s="1" t="s">
        <v>658</v>
      </c>
      <c r="N226" s="1">
        <v>12</v>
      </c>
      <c r="R226" s="1" t="s">
        <v>677</v>
      </c>
    </row>
    <row r="227" spans="1:18" x14ac:dyDescent="0.25">
      <c r="A227" s="1">
        <v>226</v>
      </c>
      <c r="B227" s="1" t="s">
        <v>265</v>
      </c>
      <c r="C227" s="1" t="s">
        <v>377</v>
      </c>
      <c r="D227" s="8"/>
      <c r="E227" s="13" t="s">
        <v>656</v>
      </c>
      <c r="G227" s="1" t="s">
        <v>657</v>
      </c>
      <c r="H227" s="7"/>
      <c r="J227" s="1" t="s">
        <v>658</v>
      </c>
      <c r="N227" s="1">
        <v>12</v>
      </c>
      <c r="R227" s="1" t="s">
        <v>677</v>
      </c>
    </row>
    <row r="228" spans="1:18" x14ac:dyDescent="0.25">
      <c r="A228" s="1">
        <v>227</v>
      </c>
      <c r="B228" s="1" t="s">
        <v>266</v>
      </c>
      <c r="C228" s="1" t="s">
        <v>377</v>
      </c>
      <c r="D228" s="8"/>
      <c r="E228" s="13" t="s">
        <v>656</v>
      </c>
      <c r="G228" s="1" t="s">
        <v>657</v>
      </c>
      <c r="H228" s="7"/>
      <c r="J228" s="1" t="s">
        <v>658</v>
      </c>
      <c r="N228" s="1">
        <v>12</v>
      </c>
      <c r="R228" s="1" t="s">
        <v>677</v>
      </c>
    </row>
    <row r="229" spans="1:18" x14ac:dyDescent="0.25">
      <c r="A229" s="1">
        <v>228</v>
      </c>
      <c r="B229" s="1" t="s">
        <v>273</v>
      </c>
      <c r="C229" s="1" t="s">
        <v>384</v>
      </c>
      <c r="D229" s="8"/>
      <c r="E229" s="13" t="s">
        <v>663</v>
      </c>
      <c r="H229" s="7">
        <v>40673</v>
      </c>
      <c r="I229" s="1" t="s">
        <v>660</v>
      </c>
      <c r="K229" s="1">
        <v>12</v>
      </c>
      <c r="N229" s="1">
        <v>12</v>
      </c>
      <c r="O229" s="1">
        <v>3</v>
      </c>
      <c r="Q229" s="1" t="s">
        <v>669</v>
      </c>
      <c r="R229" s="1" t="s">
        <v>684</v>
      </c>
    </row>
    <row r="230" spans="1:18" x14ac:dyDescent="0.25">
      <c r="A230" s="1">
        <v>229</v>
      </c>
      <c r="B230" s="1" t="s">
        <v>274</v>
      </c>
      <c r="C230" s="1" t="s">
        <v>385</v>
      </c>
      <c r="D230" s="8">
        <v>31198019</v>
      </c>
      <c r="E230" s="13" t="s">
        <v>664</v>
      </c>
      <c r="H230" s="7">
        <v>38261</v>
      </c>
      <c r="I230" s="1" t="s">
        <v>660</v>
      </c>
      <c r="K230" s="1">
        <v>12</v>
      </c>
      <c r="N230" s="1">
        <v>12</v>
      </c>
      <c r="O230" s="1">
        <v>3</v>
      </c>
      <c r="Q230" s="1" t="s">
        <v>669</v>
      </c>
      <c r="R230" s="1" t="s">
        <v>684</v>
      </c>
    </row>
    <row r="231" spans="1:18" x14ac:dyDescent="0.25">
      <c r="A231" s="1">
        <v>230</v>
      </c>
      <c r="B231" s="1" t="s">
        <v>275</v>
      </c>
      <c r="C231" s="1" t="s">
        <v>386</v>
      </c>
      <c r="D231" s="8">
        <v>37136364</v>
      </c>
      <c r="E231" s="13" t="s">
        <v>665</v>
      </c>
      <c r="H231" s="7">
        <v>42465</v>
      </c>
      <c r="I231" s="1" t="s">
        <v>660</v>
      </c>
      <c r="N231" s="1">
        <v>12</v>
      </c>
      <c r="O231" s="1">
        <v>6</v>
      </c>
      <c r="R231" s="1" t="s">
        <v>684</v>
      </c>
    </row>
    <row r="232" spans="1:18" x14ac:dyDescent="0.25">
      <c r="A232" s="1">
        <v>231</v>
      </c>
      <c r="B232" s="1" t="s">
        <v>276</v>
      </c>
      <c r="C232" s="1" t="s">
        <v>387</v>
      </c>
      <c r="D232" s="8">
        <v>24727273</v>
      </c>
      <c r="E232" s="13" t="s">
        <v>666</v>
      </c>
      <c r="H232" s="7">
        <v>42236</v>
      </c>
      <c r="I232" s="1" t="s">
        <v>660</v>
      </c>
      <c r="O232" s="1">
        <v>12</v>
      </c>
      <c r="R232" s="1" t="s">
        <v>684</v>
      </c>
    </row>
    <row r="233" spans="1:18" x14ac:dyDescent="0.25">
      <c r="A233" s="1">
        <v>232</v>
      </c>
      <c r="B233" s="1" t="s">
        <v>277</v>
      </c>
      <c r="C233" s="1" t="s">
        <v>388</v>
      </c>
      <c r="D233" s="8">
        <v>177818182</v>
      </c>
      <c r="E233" s="13" t="s">
        <v>667</v>
      </c>
      <c r="H233" s="7">
        <v>42236</v>
      </c>
      <c r="I233" s="1" t="s">
        <v>660</v>
      </c>
      <c r="N233" s="1">
        <v>12</v>
      </c>
      <c r="R233" s="1" t="s">
        <v>684</v>
      </c>
    </row>
    <row r="234" spans="1:18" x14ac:dyDescent="0.25">
      <c r="A234" s="1">
        <v>233</v>
      </c>
      <c r="B234" s="1" t="s">
        <v>278</v>
      </c>
      <c r="C234" s="1" t="s">
        <v>389</v>
      </c>
      <c r="D234" s="8"/>
      <c r="E234" s="13"/>
      <c r="H234" s="7"/>
      <c r="I234" s="1" t="s">
        <v>660</v>
      </c>
      <c r="N234" s="1">
        <v>12</v>
      </c>
      <c r="R234" s="1" t="s">
        <v>684</v>
      </c>
    </row>
    <row r="235" spans="1:18" x14ac:dyDescent="0.25">
      <c r="A235" s="1">
        <v>234</v>
      </c>
      <c r="B235" s="1" t="s">
        <v>279</v>
      </c>
      <c r="C235" s="1" t="s">
        <v>390</v>
      </c>
      <c r="D235" s="8">
        <v>20000000</v>
      </c>
      <c r="E235" s="13" t="s">
        <v>668</v>
      </c>
      <c r="H235" s="7">
        <v>42465</v>
      </c>
      <c r="I235" s="1" t="s">
        <v>660</v>
      </c>
      <c r="K235" s="1">
        <v>12</v>
      </c>
      <c r="N235" s="1">
        <v>12</v>
      </c>
      <c r="O235" s="1">
        <v>3</v>
      </c>
      <c r="Q235" s="1" t="s">
        <v>669</v>
      </c>
      <c r="R235" s="1" t="s">
        <v>684</v>
      </c>
    </row>
  </sheetData>
  <phoneticPr fontId="3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5BEB6-3D43-426F-B735-A17EB05BFD73}">
  <sheetPr codeName="Sheet1"/>
  <dimension ref="A1:K369"/>
  <sheetViews>
    <sheetView zoomScaleNormal="100" workbookViewId="0">
      <selection activeCell="A14" sqref="A14:XFD14"/>
    </sheetView>
  </sheetViews>
  <sheetFormatPr defaultColWidth="8.85546875" defaultRowHeight="15" x14ac:dyDescent="0.25"/>
  <cols>
    <col min="1" max="1" width="12.85546875" style="1" customWidth="1"/>
    <col min="2" max="2" width="13.5703125" style="1" bestFit="1" customWidth="1"/>
    <col min="3" max="3" width="11.5703125" style="1" customWidth="1"/>
    <col min="4" max="4" width="12.7109375" style="1" bestFit="1" customWidth="1"/>
    <col min="5" max="5" width="34" style="1" bestFit="1" customWidth="1"/>
    <col min="6" max="8" width="8.85546875" style="1"/>
    <col min="9" max="9" width="13.85546875" style="1" bestFit="1" customWidth="1"/>
    <col min="10" max="10" width="15.5703125" style="1" bestFit="1" customWidth="1"/>
    <col min="11" max="11" width="10.42578125" style="1" customWidth="1"/>
    <col min="12" max="16384" width="8.85546875" style="1"/>
  </cols>
  <sheetData>
    <row r="1" spans="1:11" x14ac:dyDescent="0.25">
      <c r="A1" s="4" t="s">
        <v>66</v>
      </c>
      <c r="B1" s="4" t="s">
        <v>0</v>
      </c>
      <c r="C1" s="4" t="s">
        <v>1</v>
      </c>
      <c r="D1" s="4" t="s">
        <v>2</v>
      </c>
      <c r="E1" s="4" t="s">
        <v>32</v>
      </c>
      <c r="H1" s="3"/>
      <c r="J1" s="1" t="s">
        <v>690</v>
      </c>
    </row>
    <row r="2" spans="1:11" x14ac:dyDescent="0.25">
      <c r="A2" s="4">
        <f>MATCH(PlanData[[#This Row],[Mã thiết bị]],EquipmentInfo[Mã thiết bị],0)</f>
        <v>1</v>
      </c>
      <c r="B2" s="4" t="s">
        <v>34</v>
      </c>
      <c r="C2" s="4">
        <v>7</v>
      </c>
      <c r="D2" s="4" t="s">
        <v>15</v>
      </c>
      <c r="E2" s="4"/>
      <c r="J2" s="1" t="s">
        <v>148</v>
      </c>
      <c r="K2" s="5" t="s">
        <v>65</v>
      </c>
    </row>
    <row r="3" spans="1:11" x14ac:dyDescent="0.25">
      <c r="A3" s="4">
        <f>MATCH(PlanData[[#This Row],[Mã thiết bị]],EquipmentInfo[Mã thiết bị],0)</f>
        <v>1</v>
      </c>
      <c r="B3" s="4" t="s">
        <v>34</v>
      </c>
      <c r="C3" s="4">
        <v>10</v>
      </c>
      <c r="D3" s="4" t="s">
        <v>16</v>
      </c>
      <c r="E3" s="4"/>
      <c r="J3" s="1" t="s">
        <v>149</v>
      </c>
      <c r="K3" s="6">
        <v>7.92</v>
      </c>
    </row>
    <row r="4" spans="1:11" x14ac:dyDescent="0.25">
      <c r="A4" s="4">
        <f>MATCH(PlanData[[#This Row],[Mã thiết bị]],EquipmentInfo[Mã thiết bị],0)</f>
        <v>1</v>
      </c>
      <c r="B4" s="4" t="s">
        <v>34</v>
      </c>
      <c r="C4" s="4">
        <v>1</v>
      </c>
      <c r="D4" s="4" t="s">
        <v>16</v>
      </c>
      <c r="E4" s="4"/>
    </row>
    <row r="5" spans="1:11" x14ac:dyDescent="0.25">
      <c r="A5" s="4">
        <f>MATCH(PlanData[[#This Row],[Mã thiết bị]],EquipmentInfo[Mã thiết bị],0)</f>
        <v>1</v>
      </c>
      <c r="B5" s="4" t="s">
        <v>34</v>
      </c>
      <c r="C5" s="4">
        <v>4</v>
      </c>
      <c r="D5" s="4" t="s">
        <v>16</v>
      </c>
      <c r="E5" s="4"/>
    </row>
    <row r="6" spans="1:11" x14ac:dyDescent="0.25">
      <c r="A6" s="4">
        <f>MATCH(PlanData[[#This Row],[Mã thiết bị]],EquipmentInfo[Mã thiết bị],0)</f>
        <v>1</v>
      </c>
      <c r="B6" s="4" t="s">
        <v>34</v>
      </c>
      <c r="C6" s="4">
        <v>3</v>
      </c>
      <c r="D6" s="4" t="s">
        <v>17</v>
      </c>
      <c r="E6" s="4"/>
    </row>
    <row r="7" spans="1:11" x14ac:dyDescent="0.25">
      <c r="A7" s="4">
        <f>MATCH(PlanData[[#This Row],[Mã thiết bị]],EquipmentInfo[Mã thiết bị],0)</f>
        <v>2</v>
      </c>
      <c r="B7" s="4" t="s">
        <v>35</v>
      </c>
      <c r="C7" s="4">
        <v>7</v>
      </c>
      <c r="D7" s="4" t="s">
        <v>16</v>
      </c>
      <c r="E7" s="4"/>
      <c r="G7" s="1">
        <v>1</v>
      </c>
    </row>
    <row r="8" spans="1:11" x14ac:dyDescent="0.25">
      <c r="A8" s="4">
        <f>MATCH(PlanData[[#This Row],[Mã thiết bị]],EquipmentInfo[Mã thiết bị],0)</f>
        <v>3</v>
      </c>
      <c r="B8" s="4" t="s">
        <v>36</v>
      </c>
      <c r="C8" s="4">
        <v>7</v>
      </c>
      <c r="D8" s="4" t="s">
        <v>15</v>
      </c>
      <c r="E8" s="4"/>
    </row>
    <row r="9" spans="1:11" x14ac:dyDescent="0.25">
      <c r="A9" s="4">
        <f>MATCH(PlanData[[#This Row],[Mã thiết bị]],EquipmentInfo[Mã thiết bị],0)</f>
        <v>3</v>
      </c>
      <c r="B9" s="4" t="s">
        <v>36</v>
      </c>
      <c r="C9" s="4">
        <v>10</v>
      </c>
      <c r="D9" s="4" t="s">
        <v>16</v>
      </c>
      <c r="E9" s="4"/>
    </row>
    <row r="10" spans="1:11" x14ac:dyDescent="0.25">
      <c r="A10" s="4">
        <f>MATCH(PlanData[[#This Row],[Mã thiết bị]],EquipmentInfo[Mã thiết bị],0)</f>
        <v>3</v>
      </c>
      <c r="B10" s="4" t="s">
        <v>36</v>
      </c>
      <c r="C10" s="4">
        <v>1</v>
      </c>
      <c r="D10" s="4" t="s">
        <v>16</v>
      </c>
      <c r="E10" s="4"/>
    </row>
    <row r="11" spans="1:11" x14ac:dyDescent="0.25">
      <c r="A11" s="4">
        <f>MATCH(PlanData[[#This Row],[Mã thiết bị]],EquipmentInfo[Mã thiết bị],0)</f>
        <v>3</v>
      </c>
      <c r="B11" s="4" t="s">
        <v>36</v>
      </c>
      <c r="C11" s="4">
        <v>4</v>
      </c>
      <c r="D11" s="4" t="s">
        <v>16</v>
      </c>
      <c r="E11" s="4"/>
    </row>
    <row r="12" spans="1:11" x14ac:dyDescent="0.25">
      <c r="A12" s="4">
        <f>MATCH(PlanData[[#This Row],[Mã thiết bị]],EquipmentInfo[Mã thiết bị],0)</f>
        <v>3</v>
      </c>
      <c r="B12" s="4" t="s">
        <v>36</v>
      </c>
      <c r="C12" s="4">
        <v>3</v>
      </c>
      <c r="D12" s="4" t="s">
        <v>17</v>
      </c>
      <c r="E12" s="4"/>
    </row>
    <row r="13" spans="1:11" x14ac:dyDescent="0.25">
      <c r="A13" s="4">
        <f>MATCH(PlanData[[#This Row],[Mã thiết bị]],EquipmentInfo[Mã thiết bị],0)</f>
        <v>4</v>
      </c>
      <c r="B13" s="4" t="s">
        <v>37</v>
      </c>
      <c r="C13" s="4">
        <v>6</v>
      </c>
      <c r="D13" s="4" t="s">
        <v>16</v>
      </c>
      <c r="E13" s="4"/>
    </row>
    <row r="14" spans="1:11" x14ac:dyDescent="0.25">
      <c r="A14" s="4">
        <f>MATCH(PlanData[[#This Row],[Mã thiết bị]],EquipmentInfo[Mã thiết bị],0)</f>
        <v>6</v>
      </c>
      <c r="B14" s="4" t="s">
        <v>39</v>
      </c>
      <c r="C14" s="4">
        <v>8</v>
      </c>
      <c r="D14" s="4" t="s">
        <v>15</v>
      </c>
      <c r="E14" s="4"/>
    </row>
    <row r="15" spans="1:11" x14ac:dyDescent="0.25">
      <c r="A15" s="4">
        <f>MATCH(PlanData[[#This Row],[Mã thiết bị]],EquipmentInfo[Mã thiết bị],0)</f>
        <v>6</v>
      </c>
      <c r="B15" s="4" t="s">
        <v>39</v>
      </c>
      <c r="C15" s="4">
        <v>8</v>
      </c>
      <c r="D15" s="4" t="s">
        <v>16</v>
      </c>
      <c r="E15" s="4"/>
    </row>
    <row r="16" spans="1:11" x14ac:dyDescent="0.25">
      <c r="A16" s="4">
        <f>MATCH(PlanData[[#This Row],[Mã thiết bị]],EquipmentInfo[Mã thiết bị],0)</f>
        <v>7</v>
      </c>
      <c r="B16" s="4" t="s">
        <v>40</v>
      </c>
      <c r="C16" s="4">
        <v>6</v>
      </c>
      <c r="D16" s="4" t="s">
        <v>28</v>
      </c>
      <c r="E16" s="4"/>
    </row>
    <row r="17" spans="1:5" x14ac:dyDescent="0.25">
      <c r="A17" s="4">
        <f>MATCH(PlanData[[#This Row],[Mã thiết bị]],EquipmentInfo[Mã thiết bị],0)</f>
        <v>7</v>
      </c>
      <c r="B17" s="4" t="s">
        <v>40</v>
      </c>
      <c r="C17" s="4">
        <v>4</v>
      </c>
      <c r="D17" s="4" t="s">
        <v>27</v>
      </c>
      <c r="E17" s="4"/>
    </row>
    <row r="18" spans="1:5" x14ac:dyDescent="0.25">
      <c r="A18" s="4">
        <f>MATCH(PlanData[[#This Row],[Mã thiết bị]],EquipmentInfo[Mã thiết bị],0)</f>
        <v>8</v>
      </c>
      <c r="B18" s="4" t="s">
        <v>41</v>
      </c>
      <c r="C18" s="4">
        <v>7</v>
      </c>
      <c r="D18" s="4" t="s">
        <v>15</v>
      </c>
      <c r="E18" s="4"/>
    </row>
    <row r="19" spans="1:5" x14ac:dyDescent="0.25">
      <c r="A19" s="4">
        <f>MATCH(PlanData[[#This Row],[Mã thiết bị]],EquipmentInfo[Mã thiết bị],0)</f>
        <v>8</v>
      </c>
      <c r="B19" s="4" t="s">
        <v>41</v>
      </c>
      <c r="C19" s="4">
        <v>10</v>
      </c>
      <c r="D19" s="4" t="s">
        <v>16</v>
      </c>
      <c r="E19" s="4"/>
    </row>
    <row r="20" spans="1:5" x14ac:dyDescent="0.25">
      <c r="A20" s="4">
        <f>MATCH(PlanData[[#This Row],[Mã thiết bị]],EquipmentInfo[Mã thiết bị],0)</f>
        <v>8</v>
      </c>
      <c r="B20" s="4" t="s">
        <v>41</v>
      </c>
      <c r="C20" s="4">
        <v>1</v>
      </c>
      <c r="D20" s="4" t="s">
        <v>16</v>
      </c>
      <c r="E20" s="4"/>
    </row>
    <row r="21" spans="1:5" x14ac:dyDescent="0.25">
      <c r="A21" s="4">
        <f>MATCH(PlanData[[#This Row],[Mã thiết bị]],EquipmentInfo[Mã thiết bị],0)</f>
        <v>8</v>
      </c>
      <c r="B21" s="4" t="s">
        <v>41</v>
      </c>
      <c r="C21" s="4">
        <v>4</v>
      </c>
      <c r="D21" s="4" t="s">
        <v>16</v>
      </c>
      <c r="E21" s="4"/>
    </row>
    <row r="22" spans="1:5" x14ac:dyDescent="0.25">
      <c r="A22" s="4">
        <f>MATCH(PlanData[[#This Row],[Mã thiết bị]],EquipmentInfo[Mã thiết bị],0)</f>
        <v>9</v>
      </c>
      <c r="B22" s="4" t="s">
        <v>42</v>
      </c>
      <c r="C22" s="4">
        <v>2</v>
      </c>
      <c r="D22" s="4" t="s">
        <v>16</v>
      </c>
      <c r="E22" s="4"/>
    </row>
    <row r="23" spans="1:5" x14ac:dyDescent="0.25">
      <c r="A23" s="4">
        <f>MATCH(PlanData[[#This Row],[Mã thiết bị]],EquipmentInfo[Mã thiết bị],0)</f>
        <v>10</v>
      </c>
      <c r="B23" s="4" t="s">
        <v>43</v>
      </c>
      <c r="C23" s="4">
        <v>7</v>
      </c>
      <c r="D23" s="4" t="s">
        <v>15</v>
      </c>
      <c r="E23" s="4"/>
    </row>
    <row r="24" spans="1:5" x14ac:dyDescent="0.25">
      <c r="A24" s="4">
        <f>MATCH(PlanData[[#This Row],[Mã thiết bị]],EquipmentInfo[Mã thiết bị],0)</f>
        <v>10</v>
      </c>
      <c r="B24" s="4" t="s">
        <v>43</v>
      </c>
      <c r="C24" s="4">
        <v>10</v>
      </c>
      <c r="D24" s="4" t="s">
        <v>16</v>
      </c>
      <c r="E24" s="4"/>
    </row>
    <row r="25" spans="1:5" x14ac:dyDescent="0.25">
      <c r="A25" s="4">
        <f>MATCH(PlanData[[#This Row],[Mã thiết bị]],EquipmentInfo[Mã thiết bị],0)</f>
        <v>10</v>
      </c>
      <c r="B25" s="4" t="s">
        <v>43</v>
      </c>
      <c r="C25" s="4">
        <v>1</v>
      </c>
      <c r="D25" s="4" t="s">
        <v>16</v>
      </c>
      <c r="E25" s="4"/>
    </row>
    <row r="26" spans="1:5" x14ac:dyDescent="0.25">
      <c r="A26" s="4">
        <f>MATCH(PlanData[[#This Row],[Mã thiết bị]],EquipmentInfo[Mã thiết bị],0)</f>
        <v>10</v>
      </c>
      <c r="B26" s="4" t="s">
        <v>43</v>
      </c>
      <c r="C26" s="4">
        <v>4</v>
      </c>
      <c r="D26" s="4" t="s">
        <v>16</v>
      </c>
      <c r="E26" s="4"/>
    </row>
    <row r="27" spans="1:5" x14ac:dyDescent="0.25">
      <c r="A27" s="4">
        <f>MATCH(PlanData[[#This Row],[Mã thiết bị]],EquipmentInfo[Mã thiết bị],0)</f>
        <v>10</v>
      </c>
      <c r="B27" s="4" t="s">
        <v>43</v>
      </c>
      <c r="C27" s="4">
        <v>3</v>
      </c>
      <c r="D27" s="4" t="s">
        <v>17</v>
      </c>
      <c r="E27" s="4"/>
    </row>
    <row r="28" spans="1:5" x14ac:dyDescent="0.25">
      <c r="A28" s="4">
        <f>MATCH(PlanData[[#This Row],[Mã thiết bị]],EquipmentInfo[Mã thiết bị],0)</f>
        <v>11</v>
      </c>
      <c r="B28" s="4" t="s">
        <v>44</v>
      </c>
      <c r="C28" s="4">
        <v>7</v>
      </c>
      <c r="D28" s="4" t="s">
        <v>16</v>
      </c>
      <c r="E28" s="4"/>
    </row>
    <row r="29" spans="1:5" x14ac:dyDescent="0.25">
      <c r="A29" s="4">
        <f>MATCH(PlanData[[#This Row],[Mã thiết bị]],EquipmentInfo[Mã thiết bị],0)</f>
        <v>12</v>
      </c>
      <c r="B29" s="4" t="s">
        <v>45</v>
      </c>
      <c r="C29" s="4">
        <v>8</v>
      </c>
      <c r="D29" s="4" t="s">
        <v>16</v>
      </c>
      <c r="E29" s="4"/>
    </row>
    <row r="30" spans="1:5" x14ac:dyDescent="0.25">
      <c r="A30" s="4">
        <f>MATCH(PlanData[[#This Row],[Mã thiết bị]],EquipmentInfo[Mã thiết bị],0)</f>
        <v>13</v>
      </c>
      <c r="B30" s="4" t="s">
        <v>46</v>
      </c>
      <c r="C30" s="4">
        <v>7</v>
      </c>
      <c r="D30" s="4" t="s">
        <v>15</v>
      </c>
      <c r="E30" s="4"/>
    </row>
    <row r="31" spans="1:5" x14ac:dyDescent="0.25">
      <c r="A31" s="4">
        <f>MATCH(PlanData[[#This Row],[Mã thiết bị]],EquipmentInfo[Mã thiết bị],0)</f>
        <v>15</v>
      </c>
      <c r="B31" s="4" t="s">
        <v>47</v>
      </c>
      <c r="C31" s="4">
        <v>2</v>
      </c>
      <c r="D31" s="4" t="s">
        <v>16</v>
      </c>
      <c r="E31" s="4"/>
    </row>
    <row r="32" spans="1:5" x14ac:dyDescent="0.25">
      <c r="A32" s="4">
        <f>MATCH(PlanData[[#This Row],[Mã thiết bị]],EquipmentInfo[Mã thiết bị],0)</f>
        <v>16</v>
      </c>
      <c r="B32" s="4" t="s">
        <v>62</v>
      </c>
      <c r="C32" s="4">
        <v>3</v>
      </c>
      <c r="D32" s="4" t="s">
        <v>17</v>
      </c>
      <c r="E32" s="4"/>
    </row>
    <row r="33" spans="1:5" x14ac:dyDescent="0.25">
      <c r="A33" s="4">
        <f>MATCH(PlanData[[#This Row],[Mã thiết bị]],EquipmentInfo[Mã thiết bị],0)</f>
        <v>17</v>
      </c>
      <c r="B33" s="4" t="s">
        <v>63</v>
      </c>
      <c r="C33" s="4">
        <v>9</v>
      </c>
      <c r="D33" s="4" t="s">
        <v>16</v>
      </c>
      <c r="E33" s="4" t="s">
        <v>704</v>
      </c>
    </row>
    <row r="34" spans="1:5" x14ac:dyDescent="0.25">
      <c r="A34" s="4">
        <f>MATCH(PlanData[[#This Row],[Mã thiết bị]],EquipmentInfo[Mã thiết bị],0)</f>
        <v>18</v>
      </c>
      <c r="B34" s="4" t="s">
        <v>64</v>
      </c>
      <c r="C34" s="4">
        <v>7</v>
      </c>
      <c r="D34" s="4" t="s">
        <v>15</v>
      </c>
      <c r="E34" s="4"/>
    </row>
    <row r="35" spans="1:5" x14ac:dyDescent="0.25">
      <c r="A35" s="4">
        <f>MATCH(PlanData[[#This Row],[Mã thiết bị]],EquipmentInfo[Mã thiết bị],0)</f>
        <v>19</v>
      </c>
      <c r="B35" s="4" t="s">
        <v>67</v>
      </c>
      <c r="C35" s="4">
        <v>2</v>
      </c>
      <c r="D35" s="4" t="s">
        <v>16</v>
      </c>
      <c r="E35" s="4"/>
    </row>
    <row r="36" spans="1:5" x14ac:dyDescent="0.25">
      <c r="A36" s="4">
        <f>MATCH(PlanData[[#This Row],[Mã thiết bị]],EquipmentInfo[Mã thiết bị],0)</f>
        <v>20</v>
      </c>
      <c r="B36" s="4" t="s">
        <v>68</v>
      </c>
      <c r="C36" s="4">
        <v>8</v>
      </c>
      <c r="D36" s="4" t="s">
        <v>15</v>
      </c>
      <c r="E36" s="4"/>
    </row>
    <row r="37" spans="1:5" x14ac:dyDescent="0.25">
      <c r="A37" s="4">
        <f>MATCH(PlanData[[#This Row],[Mã thiết bị]],EquipmentInfo[Mã thiết bị],0)</f>
        <v>21</v>
      </c>
      <c r="B37" s="4" t="s">
        <v>69</v>
      </c>
      <c r="C37" s="4">
        <v>12</v>
      </c>
      <c r="D37" s="4" t="s">
        <v>16</v>
      </c>
      <c r="E37" s="4"/>
    </row>
    <row r="38" spans="1:5" x14ac:dyDescent="0.25">
      <c r="A38" s="4">
        <f>MATCH(PlanData[[#This Row],[Mã thiết bị]],EquipmentInfo[Mã thiết bị],0)</f>
        <v>22</v>
      </c>
      <c r="B38" s="4" t="s">
        <v>70</v>
      </c>
      <c r="C38" s="4">
        <v>7</v>
      </c>
      <c r="D38" s="4" t="s">
        <v>15</v>
      </c>
      <c r="E38" s="4"/>
    </row>
    <row r="39" spans="1:5" x14ac:dyDescent="0.25">
      <c r="A39" s="4">
        <f>MATCH(PlanData[[#This Row],[Mã thiết bị]],EquipmentInfo[Mã thiết bị],0)</f>
        <v>22</v>
      </c>
      <c r="B39" s="4" t="s">
        <v>70</v>
      </c>
      <c r="C39" s="4">
        <v>4</v>
      </c>
      <c r="D39" s="4" t="s">
        <v>27</v>
      </c>
      <c r="E39" s="4"/>
    </row>
    <row r="40" spans="1:5" x14ac:dyDescent="0.25">
      <c r="A40" s="4">
        <f>MATCH(PlanData[[#This Row],[Mã thiết bị]],EquipmentInfo[Mã thiết bị],0)</f>
        <v>23</v>
      </c>
      <c r="B40" s="4" t="s">
        <v>71</v>
      </c>
      <c r="C40" s="4">
        <v>4</v>
      </c>
      <c r="D40" s="4" t="s">
        <v>16</v>
      </c>
      <c r="E40" s="4"/>
    </row>
    <row r="41" spans="1:5" x14ac:dyDescent="0.25">
      <c r="A41" s="4">
        <f>MATCH(PlanData[[#This Row],[Mã thiết bị]],EquipmentInfo[Mã thiết bị],0)</f>
        <v>24</v>
      </c>
      <c r="B41" s="4" t="s">
        <v>72</v>
      </c>
      <c r="C41" s="4">
        <v>7</v>
      </c>
      <c r="D41" s="4" t="s">
        <v>15</v>
      </c>
      <c r="E41" s="4"/>
    </row>
    <row r="42" spans="1:5" x14ac:dyDescent="0.25">
      <c r="A42" s="4">
        <f>MATCH(PlanData[[#This Row],[Mã thiết bị]],EquipmentInfo[Mã thiết bị],0)</f>
        <v>25</v>
      </c>
      <c r="B42" s="4" t="s">
        <v>73</v>
      </c>
      <c r="C42" s="4">
        <v>7</v>
      </c>
      <c r="D42" s="4" t="s">
        <v>15</v>
      </c>
      <c r="E42" s="4"/>
    </row>
    <row r="43" spans="1:5" x14ac:dyDescent="0.25">
      <c r="A43" s="4">
        <f>MATCH(PlanData[[#This Row],[Mã thiết bị]],EquipmentInfo[Mã thiết bị],0)</f>
        <v>25</v>
      </c>
      <c r="B43" s="4" t="s">
        <v>73</v>
      </c>
      <c r="C43" s="4">
        <v>10</v>
      </c>
      <c r="D43" s="4" t="s">
        <v>16</v>
      </c>
      <c r="E43" s="4"/>
    </row>
    <row r="44" spans="1:5" x14ac:dyDescent="0.25">
      <c r="A44" s="4">
        <f>MATCH(PlanData[[#This Row],[Mã thiết bị]],EquipmentInfo[Mã thiết bị],0)</f>
        <v>25</v>
      </c>
      <c r="B44" s="4" t="s">
        <v>73</v>
      </c>
      <c r="C44" s="4">
        <v>1</v>
      </c>
      <c r="D44" s="4" t="s">
        <v>16</v>
      </c>
      <c r="E44" s="4"/>
    </row>
    <row r="45" spans="1:5" x14ac:dyDescent="0.25">
      <c r="A45" s="4">
        <f>MATCH(PlanData[[#This Row],[Mã thiết bị]],EquipmentInfo[Mã thiết bị],0)</f>
        <v>25</v>
      </c>
      <c r="B45" s="4" t="s">
        <v>73</v>
      </c>
      <c r="C45" s="4">
        <v>4</v>
      </c>
      <c r="D45" s="4" t="s">
        <v>16</v>
      </c>
      <c r="E45" s="4"/>
    </row>
    <row r="46" spans="1:5" x14ac:dyDescent="0.25">
      <c r="A46" s="4">
        <f>MATCH(PlanData[[#This Row],[Mã thiết bị]],EquipmentInfo[Mã thiết bị],0)</f>
        <v>25</v>
      </c>
      <c r="B46" s="4" t="s">
        <v>73</v>
      </c>
      <c r="C46" s="4">
        <v>3</v>
      </c>
      <c r="D46" s="4" t="s">
        <v>17</v>
      </c>
      <c r="E46" s="4"/>
    </row>
    <row r="47" spans="1:5" x14ac:dyDescent="0.25">
      <c r="A47" s="4">
        <f>MATCH(PlanData[[#This Row],[Mã thiết bị]],EquipmentInfo[Mã thiết bị],0)</f>
        <v>26</v>
      </c>
      <c r="B47" s="4" t="s">
        <v>74</v>
      </c>
      <c r="C47" s="4">
        <v>1</v>
      </c>
      <c r="D47" s="4" t="s">
        <v>16</v>
      </c>
      <c r="E47" s="4"/>
    </row>
    <row r="48" spans="1:5" x14ac:dyDescent="0.25">
      <c r="A48" s="4">
        <f>MATCH(PlanData[[#This Row],[Mã thiết bị]],EquipmentInfo[Mã thiết bị],0)</f>
        <v>26</v>
      </c>
      <c r="B48" s="4" t="s">
        <v>74</v>
      </c>
      <c r="C48" s="4">
        <v>2</v>
      </c>
      <c r="D48" s="4" t="s">
        <v>16</v>
      </c>
      <c r="E48" s="4"/>
    </row>
    <row r="49" spans="1:5" x14ac:dyDescent="0.25">
      <c r="A49" s="4">
        <f>MATCH(PlanData[[#This Row],[Mã thiết bị]],EquipmentInfo[Mã thiết bị],0)</f>
        <v>26</v>
      </c>
      <c r="B49" s="4" t="s">
        <v>74</v>
      </c>
      <c r="C49" s="4">
        <v>3</v>
      </c>
      <c r="D49" s="4" t="s">
        <v>16</v>
      </c>
      <c r="E49" s="4"/>
    </row>
    <row r="50" spans="1:5" x14ac:dyDescent="0.25">
      <c r="A50" s="4">
        <f>MATCH(PlanData[[#This Row],[Mã thiết bị]],EquipmentInfo[Mã thiết bị],0)</f>
        <v>26</v>
      </c>
      <c r="B50" s="4" t="s">
        <v>74</v>
      </c>
      <c r="C50" s="4">
        <v>4</v>
      </c>
      <c r="D50" s="4" t="s">
        <v>16</v>
      </c>
      <c r="E50" s="4"/>
    </row>
    <row r="51" spans="1:5" x14ac:dyDescent="0.25">
      <c r="A51" s="4">
        <f>MATCH(PlanData[[#This Row],[Mã thiết bị]],EquipmentInfo[Mã thiết bị],0)</f>
        <v>26</v>
      </c>
      <c r="B51" s="4" t="s">
        <v>74</v>
      </c>
      <c r="C51" s="4">
        <v>5</v>
      </c>
      <c r="D51" s="4" t="s">
        <v>16</v>
      </c>
      <c r="E51" s="4"/>
    </row>
    <row r="52" spans="1:5" x14ac:dyDescent="0.25">
      <c r="A52" s="4">
        <f>MATCH(PlanData[[#This Row],[Mã thiết bị]],EquipmentInfo[Mã thiết bị],0)</f>
        <v>26</v>
      </c>
      <c r="B52" s="4" t="s">
        <v>74</v>
      </c>
      <c r="C52" s="4">
        <v>6</v>
      </c>
      <c r="D52" s="4" t="s">
        <v>16</v>
      </c>
      <c r="E52" s="4"/>
    </row>
    <row r="53" spans="1:5" x14ac:dyDescent="0.25">
      <c r="A53" s="4">
        <f>MATCH(PlanData[[#This Row],[Mã thiết bị]],EquipmentInfo[Mã thiết bị],0)</f>
        <v>26</v>
      </c>
      <c r="B53" s="4" t="s">
        <v>74</v>
      </c>
      <c r="C53" s="4">
        <v>7</v>
      </c>
      <c r="D53" s="4" t="s">
        <v>16</v>
      </c>
      <c r="E53" s="4"/>
    </row>
    <row r="54" spans="1:5" x14ac:dyDescent="0.25">
      <c r="A54" s="4">
        <f>MATCH(PlanData[[#This Row],[Mã thiết bị]],EquipmentInfo[Mã thiết bị],0)</f>
        <v>26</v>
      </c>
      <c r="B54" s="4" t="s">
        <v>74</v>
      </c>
      <c r="C54" s="4">
        <v>8</v>
      </c>
      <c r="D54" s="4" t="s">
        <v>16</v>
      </c>
      <c r="E54" s="4"/>
    </row>
    <row r="55" spans="1:5" x14ac:dyDescent="0.25">
      <c r="A55" s="4">
        <f>MATCH(PlanData[[#This Row],[Mã thiết bị]],EquipmentInfo[Mã thiết bị],0)</f>
        <v>26</v>
      </c>
      <c r="B55" s="4" t="s">
        <v>74</v>
      </c>
      <c r="C55" s="4">
        <v>9</v>
      </c>
      <c r="D55" s="4" t="s">
        <v>16</v>
      </c>
      <c r="E55" s="4"/>
    </row>
    <row r="56" spans="1:5" x14ac:dyDescent="0.25">
      <c r="A56" s="4">
        <f>MATCH(PlanData[[#This Row],[Mã thiết bị]],EquipmentInfo[Mã thiết bị],0)</f>
        <v>26</v>
      </c>
      <c r="B56" s="4" t="s">
        <v>74</v>
      </c>
      <c r="C56" s="4">
        <v>10</v>
      </c>
      <c r="D56" s="4" t="s">
        <v>16</v>
      </c>
      <c r="E56" s="4"/>
    </row>
    <row r="57" spans="1:5" x14ac:dyDescent="0.25">
      <c r="A57" s="4">
        <f>MATCH(PlanData[[#This Row],[Mã thiết bị]],EquipmentInfo[Mã thiết bị],0)</f>
        <v>26</v>
      </c>
      <c r="B57" s="4" t="s">
        <v>74</v>
      </c>
      <c r="C57" s="4">
        <v>11</v>
      </c>
      <c r="D57" s="4" t="s">
        <v>16</v>
      </c>
      <c r="E57" s="4"/>
    </row>
    <row r="58" spans="1:5" x14ac:dyDescent="0.25">
      <c r="A58" s="4">
        <f>MATCH(PlanData[[#This Row],[Mã thiết bị]],EquipmentInfo[Mã thiết bị],0)</f>
        <v>26</v>
      </c>
      <c r="B58" s="4" t="s">
        <v>74</v>
      </c>
      <c r="C58" s="4">
        <v>12</v>
      </c>
      <c r="D58" s="4" t="s">
        <v>16</v>
      </c>
      <c r="E58" s="4"/>
    </row>
    <row r="59" spans="1:5" x14ac:dyDescent="0.25">
      <c r="A59" s="4">
        <f>MATCH(PlanData[[#This Row],[Mã thiết bị]],EquipmentInfo[Mã thiết bị],0)</f>
        <v>27</v>
      </c>
      <c r="B59" s="4" t="s">
        <v>75</v>
      </c>
      <c r="C59" s="4">
        <v>7</v>
      </c>
      <c r="D59" s="4" t="s">
        <v>15</v>
      </c>
      <c r="E59" s="4"/>
    </row>
    <row r="60" spans="1:5" x14ac:dyDescent="0.25">
      <c r="A60" s="4">
        <f>MATCH(PlanData[[#This Row],[Mã thiết bị]],EquipmentInfo[Mã thiết bị],0)</f>
        <v>27</v>
      </c>
      <c r="B60" s="4" t="s">
        <v>75</v>
      </c>
      <c r="C60" s="4">
        <v>10</v>
      </c>
      <c r="D60" s="4" t="s">
        <v>16</v>
      </c>
      <c r="E60" s="4"/>
    </row>
    <row r="61" spans="1:5" x14ac:dyDescent="0.25">
      <c r="A61" s="4">
        <f>MATCH(PlanData[[#This Row],[Mã thiết bị]],EquipmentInfo[Mã thiết bị],0)</f>
        <v>27</v>
      </c>
      <c r="B61" s="4" t="s">
        <v>75</v>
      </c>
      <c r="C61" s="4">
        <v>1</v>
      </c>
      <c r="D61" s="4" t="s">
        <v>16</v>
      </c>
      <c r="E61" s="4"/>
    </row>
    <row r="62" spans="1:5" x14ac:dyDescent="0.25">
      <c r="A62" s="4">
        <f>MATCH(PlanData[[#This Row],[Mã thiết bị]],EquipmentInfo[Mã thiết bị],0)</f>
        <v>27</v>
      </c>
      <c r="B62" s="4" t="s">
        <v>75</v>
      </c>
      <c r="C62" s="4">
        <v>4</v>
      </c>
      <c r="D62" s="4" t="s">
        <v>16</v>
      </c>
      <c r="E62" s="4"/>
    </row>
    <row r="63" spans="1:5" x14ac:dyDescent="0.25">
      <c r="A63" s="4">
        <f>MATCH(PlanData[[#This Row],[Mã thiết bị]],EquipmentInfo[Mã thiết bị],0)</f>
        <v>27</v>
      </c>
      <c r="B63" s="4" t="s">
        <v>75</v>
      </c>
      <c r="C63" s="4">
        <v>3</v>
      </c>
      <c r="D63" s="4" t="s">
        <v>17</v>
      </c>
      <c r="E63" s="4"/>
    </row>
    <row r="64" spans="1:5" x14ac:dyDescent="0.25">
      <c r="A64" s="4">
        <f>MATCH(PlanData[[#This Row],[Mã thiết bị]],EquipmentInfo[Mã thiết bị],0)</f>
        <v>28</v>
      </c>
      <c r="B64" s="4" t="s">
        <v>76</v>
      </c>
      <c r="C64" s="4">
        <v>3</v>
      </c>
      <c r="D64" s="4" t="s">
        <v>15</v>
      </c>
      <c r="E64" s="4"/>
    </row>
    <row r="65" spans="1:5" x14ac:dyDescent="0.25">
      <c r="A65" s="4">
        <f>MATCH(PlanData[[#This Row],[Mã thiết bị]],EquipmentInfo[Mã thiết bị],0)</f>
        <v>29</v>
      </c>
      <c r="B65" s="4" t="s">
        <v>77</v>
      </c>
      <c r="C65" s="4">
        <v>8</v>
      </c>
      <c r="D65" s="4" t="s">
        <v>15</v>
      </c>
      <c r="E65" s="4"/>
    </row>
    <row r="66" spans="1:5" x14ac:dyDescent="0.25">
      <c r="A66" s="4">
        <f>MATCH(PlanData[[#This Row],[Mã thiết bị]],EquipmentInfo[Mã thiết bị],0)</f>
        <v>29</v>
      </c>
      <c r="B66" s="4" t="s">
        <v>77</v>
      </c>
      <c r="C66" s="4">
        <v>2</v>
      </c>
      <c r="D66" s="4" t="s">
        <v>16</v>
      </c>
      <c r="E66" s="4"/>
    </row>
    <row r="67" spans="1:5" x14ac:dyDescent="0.25">
      <c r="A67" s="4">
        <f>MATCH(PlanData[[#This Row],[Mã thiết bị]],EquipmentInfo[Mã thiết bị],0)</f>
        <v>29</v>
      </c>
      <c r="B67" s="4" t="s">
        <v>77</v>
      </c>
      <c r="C67" s="4">
        <v>8</v>
      </c>
      <c r="D67" s="4" t="s">
        <v>16</v>
      </c>
      <c r="E67" s="4"/>
    </row>
    <row r="68" spans="1:5" x14ac:dyDescent="0.25">
      <c r="A68" s="4">
        <f>MATCH(PlanData[[#This Row],[Mã thiết bị]],EquipmentInfo[Mã thiết bị],0)</f>
        <v>30</v>
      </c>
      <c r="B68" s="4" t="s">
        <v>78</v>
      </c>
      <c r="C68" s="4">
        <v>10</v>
      </c>
      <c r="D68" s="4" t="s">
        <v>16</v>
      </c>
      <c r="E68" s="4"/>
    </row>
    <row r="69" spans="1:5" x14ac:dyDescent="0.25">
      <c r="A69" s="4">
        <f>MATCH(PlanData[[#This Row],[Mã thiết bị]],EquipmentInfo[Mã thiết bị],0)</f>
        <v>32</v>
      </c>
      <c r="B69" s="4" t="s">
        <v>79</v>
      </c>
      <c r="C69" s="4">
        <v>7</v>
      </c>
      <c r="D69" s="4" t="s">
        <v>15</v>
      </c>
      <c r="E69" s="4"/>
    </row>
    <row r="70" spans="1:5" x14ac:dyDescent="0.25">
      <c r="A70" s="4">
        <f>MATCH(PlanData[[#This Row],[Mã thiết bị]],EquipmentInfo[Mã thiết bị],0)</f>
        <v>32</v>
      </c>
      <c r="B70" s="4" t="s">
        <v>79</v>
      </c>
      <c r="C70" s="4">
        <v>10</v>
      </c>
      <c r="D70" s="4" t="s">
        <v>16</v>
      </c>
      <c r="E70" s="4"/>
    </row>
    <row r="71" spans="1:5" x14ac:dyDescent="0.25">
      <c r="A71" s="4">
        <f>MATCH(PlanData[[#This Row],[Mã thiết bị]],EquipmentInfo[Mã thiết bị],0)</f>
        <v>32</v>
      </c>
      <c r="B71" s="4" t="s">
        <v>79</v>
      </c>
      <c r="C71" s="4">
        <v>1</v>
      </c>
      <c r="D71" s="4" t="s">
        <v>16</v>
      </c>
      <c r="E71" s="4"/>
    </row>
    <row r="72" spans="1:5" x14ac:dyDescent="0.25">
      <c r="A72" s="4">
        <f>MATCH(PlanData[[#This Row],[Mã thiết bị]],EquipmentInfo[Mã thiết bị],0)</f>
        <v>32</v>
      </c>
      <c r="B72" s="4" t="s">
        <v>79</v>
      </c>
      <c r="C72" s="4">
        <v>4</v>
      </c>
      <c r="D72" s="4" t="s">
        <v>16</v>
      </c>
      <c r="E72" s="4"/>
    </row>
    <row r="73" spans="1:5" x14ac:dyDescent="0.25">
      <c r="A73" s="4">
        <f>MATCH(PlanData[[#This Row],[Mã thiết bị]],EquipmentInfo[Mã thiết bị],0)</f>
        <v>33</v>
      </c>
      <c r="B73" s="4" t="s">
        <v>80</v>
      </c>
      <c r="C73" s="4">
        <v>2</v>
      </c>
      <c r="D73" s="4" t="s">
        <v>16</v>
      </c>
      <c r="E73" s="4"/>
    </row>
    <row r="74" spans="1:5" x14ac:dyDescent="0.25">
      <c r="A74" s="4">
        <f>MATCH(PlanData[[#This Row],[Mã thiết bị]],EquipmentInfo[Mã thiết bị],0)</f>
        <v>36</v>
      </c>
      <c r="B74" s="4" t="s">
        <v>81</v>
      </c>
      <c r="C74" s="4">
        <v>8</v>
      </c>
      <c r="D74" s="4" t="s">
        <v>15</v>
      </c>
      <c r="E74" s="4"/>
    </row>
    <row r="75" spans="1:5" x14ac:dyDescent="0.25">
      <c r="A75" s="4">
        <f>MATCH(PlanData[[#This Row],[Mã thiết bị]],EquipmentInfo[Mã thiết bị],0)</f>
        <v>37</v>
      </c>
      <c r="B75" s="4" t="s">
        <v>82</v>
      </c>
      <c r="C75" s="4">
        <v>2</v>
      </c>
      <c r="D75" s="4" t="s">
        <v>16</v>
      </c>
      <c r="E75" s="4"/>
    </row>
    <row r="76" spans="1:5" x14ac:dyDescent="0.25">
      <c r="A76" s="4">
        <f>MATCH(PlanData[[#This Row],[Mã thiết bị]],EquipmentInfo[Mã thiết bị],0)</f>
        <v>38</v>
      </c>
      <c r="B76" s="4" t="s">
        <v>83</v>
      </c>
      <c r="C76" s="4">
        <v>9</v>
      </c>
      <c r="D76" s="4" t="s">
        <v>16</v>
      </c>
      <c r="E76" s="4"/>
    </row>
    <row r="77" spans="1:5" x14ac:dyDescent="0.25">
      <c r="A77" s="4">
        <f>MATCH(PlanData[[#This Row],[Mã thiết bị]],EquipmentInfo[Mã thiết bị],0)</f>
        <v>39</v>
      </c>
      <c r="B77" s="4" t="s">
        <v>84</v>
      </c>
      <c r="C77" s="4">
        <v>9</v>
      </c>
      <c r="D77" s="4" t="s">
        <v>16</v>
      </c>
      <c r="E77" s="4"/>
    </row>
    <row r="78" spans="1:5" x14ac:dyDescent="0.25">
      <c r="A78" s="4">
        <f>MATCH(PlanData[[#This Row],[Mã thiết bị]],EquipmentInfo[Mã thiết bị],0)</f>
        <v>40</v>
      </c>
      <c r="B78" s="4" t="s">
        <v>85</v>
      </c>
      <c r="C78" s="4">
        <v>9</v>
      </c>
      <c r="D78" s="4" t="s">
        <v>16</v>
      </c>
      <c r="E78" s="4"/>
    </row>
    <row r="79" spans="1:5" x14ac:dyDescent="0.25">
      <c r="A79" s="4">
        <f>MATCH(PlanData[[#This Row],[Mã thiết bị]],EquipmentInfo[Mã thiết bị],0)</f>
        <v>41</v>
      </c>
      <c r="B79" s="4" t="s">
        <v>86</v>
      </c>
      <c r="C79" s="4">
        <v>8</v>
      </c>
      <c r="D79" s="4" t="s">
        <v>15</v>
      </c>
      <c r="E79" s="4"/>
    </row>
    <row r="80" spans="1:5" x14ac:dyDescent="0.25">
      <c r="A80" s="4">
        <f>MATCH(PlanData[[#This Row],[Mã thiết bị]],EquipmentInfo[Mã thiết bị],0)</f>
        <v>41</v>
      </c>
      <c r="B80" s="4" t="s">
        <v>86</v>
      </c>
      <c r="C80" s="4">
        <v>2</v>
      </c>
      <c r="D80" s="4" t="s">
        <v>16</v>
      </c>
      <c r="E80" s="4"/>
    </row>
    <row r="81" spans="1:5" x14ac:dyDescent="0.25">
      <c r="A81" s="4">
        <f>MATCH(PlanData[[#This Row],[Mã thiết bị]],EquipmentInfo[Mã thiết bị],0)</f>
        <v>41</v>
      </c>
      <c r="B81" s="4" t="s">
        <v>86</v>
      </c>
      <c r="C81" s="4">
        <v>8</v>
      </c>
      <c r="D81" s="4" t="s">
        <v>16</v>
      </c>
      <c r="E81" s="4"/>
    </row>
    <row r="82" spans="1:5" x14ac:dyDescent="0.25">
      <c r="A82" s="4">
        <f>MATCH(PlanData[[#This Row],[Mã thiết bị]],EquipmentInfo[Mã thiết bị],0)</f>
        <v>42</v>
      </c>
      <c r="B82" s="4" t="s">
        <v>87</v>
      </c>
      <c r="C82" s="4">
        <v>8</v>
      </c>
      <c r="D82" s="4" t="s">
        <v>16</v>
      </c>
      <c r="E82" s="4"/>
    </row>
    <row r="83" spans="1:5" x14ac:dyDescent="0.25">
      <c r="A83" s="4">
        <f>MATCH(PlanData[[#This Row],[Mã thiết bị]],EquipmentInfo[Mã thiết bị],0)</f>
        <v>43</v>
      </c>
      <c r="B83" s="4" t="s">
        <v>88</v>
      </c>
      <c r="C83" s="4">
        <v>7</v>
      </c>
      <c r="D83" s="4" t="s">
        <v>15</v>
      </c>
      <c r="E83" s="4"/>
    </row>
    <row r="84" spans="1:5" x14ac:dyDescent="0.25">
      <c r="A84" s="4">
        <f>MATCH(PlanData[[#This Row],[Mã thiết bị]],EquipmentInfo[Mã thiết bị],0)</f>
        <v>44</v>
      </c>
      <c r="B84" s="4" t="s">
        <v>89</v>
      </c>
      <c r="C84" s="4">
        <v>7</v>
      </c>
      <c r="D84" s="4" t="s">
        <v>15</v>
      </c>
      <c r="E84" s="4"/>
    </row>
    <row r="85" spans="1:5" x14ac:dyDescent="0.25">
      <c r="A85" s="4">
        <f>MATCH(PlanData[[#This Row],[Mã thiết bị]],EquipmentInfo[Mã thiết bị],0)</f>
        <v>44</v>
      </c>
      <c r="B85" s="4" t="s">
        <v>89</v>
      </c>
      <c r="C85" s="4">
        <v>10</v>
      </c>
      <c r="D85" s="4" t="s">
        <v>16</v>
      </c>
      <c r="E85" s="4"/>
    </row>
    <row r="86" spans="1:5" x14ac:dyDescent="0.25">
      <c r="A86" s="4">
        <f>MATCH(PlanData[[#This Row],[Mã thiết bị]],EquipmentInfo[Mã thiết bị],0)</f>
        <v>44</v>
      </c>
      <c r="B86" s="4" t="s">
        <v>89</v>
      </c>
      <c r="C86" s="4">
        <v>1</v>
      </c>
      <c r="D86" s="4" t="s">
        <v>16</v>
      </c>
      <c r="E86" s="4"/>
    </row>
    <row r="87" spans="1:5" x14ac:dyDescent="0.25">
      <c r="A87" s="4">
        <f>MATCH(PlanData[[#This Row],[Mã thiết bị]],EquipmentInfo[Mã thiết bị],0)</f>
        <v>44</v>
      </c>
      <c r="B87" s="4" t="s">
        <v>89</v>
      </c>
      <c r="C87" s="4">
        <v>4</v>
      </c>
      <c r="D87" s="4" t="s">
        <v>16</v>
      </c>
      <c r="E87" s="4"/>
    </row>
    <row r="88" spans="1:5" x14ac:dyDescent="0.25">
      <c r="A88" s="4">
        <f>MATCH(PlanData[[#This Row],[Mã thiết bị]],EquipmentInfo[Mã thiết bị],0)</f>
        <v>44</v>
      </c>
      <c r="B88" s="4" t="s">
        <v>89</v>
      </c>
      <c r="C88" s="4">
        <v>3</v>
      </c>
      <c r="D88" s="4" t="s">
        <v>17</v>
      </c>
      <c r="E88" s="4"/>
    </row>
    <row r="89" spans="1:5" x14ac:dyDescent="0.25">
      <c r="A89" s="4">
        <f>MATCH(PlanData[[#This Row],[Mã thiết bị]],EquipmentInfo[Mã thiết bị],0)</f>
        <v>45</v>
      </c>
      <c r="B89" s="4" t="s">
        <v>90</v>
      </c>
      <c r="C89" s="4">
        <v>8</v>
      </c>
      <c r="D89" s="4" t="s">
        <v>15</v>
      </c>
      <c r="E89" s="4"/>
    </row>
    <row r="90" spans="1:5" x14ac:dyDescent="0.25">
      <c r="A90" s="4">
        <f>MATCH(PlanData[[#This Row],[Mã thiết bị]],EquipmentInfo[Mã thiết bị],0)</f>
        <v>45</v>
      </c>
      <c r="B90" s="4" t="s">
        <v>90</v>
      </c>
      <c r="C90" s="4">
        <v>8</v>
      </c>
      <c r="D90" s="4" t="s">
        <v>16</v>
      </c>
      <c r="E90" s="4"/>
    </row>
    <row r="91" spans="1:5" x14ac:dyDescent="0.25">
      <c r="A91" s="4">
        <f>MATCH(PlanData[[#This Row],[Mã thiết bị]],EquipmentInfo[Mã thiết bị],0)</f>
        <v>46</v>
      </c>
      <c r="B91" s="4" t="s">
        <v>91</v>
      </c>
      <c r="C91" s="4">
        <v>7</v>
      </c>
      <c r="D91" s="4" t="s">
        <v>15</v>
      </c>
      <c r="E91" s="4"/>
    </row>
    <row r="92" spans="1:5" x14ac:dyDescent="0.25">
      <c r="A92" s="4">
        <f>MATCH(PlanData[[#This Row],[Mã thiết bị]],EquipmentInfo[Mã thiết bị],0)</f>
        <v>46</v>
      </c>
      <c r="B92" s="4" t="s">
        <v>91</v>
      </c>
      <c r="C92" s="4">
        <v>1</v>
      </c>
      <c r="D92" s="4" t="s">
        <v>16</v>
      </c>
      <c r="E92" s="4"/>
    </row>
    <row r="93" spans="1:5" x14ac:dyDescent="0.25">
      <c r="A93" s="4">
        <f>MATCH(PlanData[[#This Row],[Mã thiết bị]],EquipmentInfo[Mã thiết bị],0)</f>
        <v>46</v>
      </c>
      <c r="B93" s="4" t="s">
        <v>91</v>
      </c>
      <c r="C93" s="4">
        <v>7</v>
      </c>
      <c r="D93" s="4" t="s">
        <v>28</v>
      </c>
      <c r="E93" s="4"/>
    </row>
    <row r="94" spans="1:5" x14ac:dyDescent="0.25">
      <c r="A94" s="4">
        <f>MATCH(PlanData[[#This Row],[Mã thiết bị]],EquipmentInfo[Mã thiết bị],0)</f>
        <v>47</v>
      </c>
      <c r="B94" s="4" t="s">
        <v>92</v>
      </c>
      <c r="C94" s="4">
        <v>7</v>
      </c>
      <c r="D94" s="4" t="s">
        <v>16</v>
      </c>
      <c r="E94" s="4"/>
    </row>
    <row r="95" spans="1:5" x14ac:dyDescent="0.25">
      <c r="A95" s="4">
        <f>MATCH(PlanData[[#This Row],[Mã thiết bị]],EquipmentInfo[Mã thiết bị],0)</f>
        <v>48</v>
      </c>
      <c r="B95" s="4" t="s">
        <v>93</v>
      </c>
      <c r="C95" s="4">
        <v>9</v>
      </c>
      <c r="D95" s="4" t="s">
        <v>16</v>
      </c>
      <c r="E95" s="4"/>
    </row>
    <row r="96" spans="1:5" x14ac:dyDescent="0.25">
      <c r="A96" s="4">
        <f>MATCH(PlanData[[#This Row],[Mã thiết bị]],EquipmentInfo[Mã thiết bị],0)</f>
        <v>49</v>
      </c>
      <c r="B96" s="4" t="s">
        <v>94</v>
      </c>
      <c r="C96" s="4">
        <v>8</v>
      </c>
      <c r="D96" s="4" t="s">
        <v>15</v>
      </c>
      <c r="E96" s="4"/>
    </row>
    <row r="97" spans="1:5" x14ac:dyDescent="0.25">
      <c r="A97" s="4">
        <f>MATCH(PlanData[[#This Row],[Mã thiết bị]],EquipmentInfo[Mã thiết bị],0)</f>
        <v>49</v>
      </c>
      <c r="B97" s="4" t="s">
        <v>94</v>
      </c>
      <c r="C97" s="4">
        <v>8</v>
      </c>
      <c r="D97" s="4" t="s">
        <v>16</v>
      </c>
      <c r="E97" s="4"/>
    </row>
    <row r="98" spans="1:5" x14ac:dyDescent="0.25">
      <c r="A98" s="4">
        <f>MATCH(PlanData[[#This Row],[Mã thiết bị]],EquipmentInfo[Mã thiết bị],0)</f>
        <v>49</v>
      </c>
      <c r="B98" s="4" t="s">
        <v>94</v>
      </c>
      <c r="C98" s="4">
        <v>2</v>
      </c>
      <c r="D98" s="4" t="s">
        <v>16</v>
      </c>
      <c r="E98" s="4"/>
    </row>
    <row r="99" spans="1:5" x14ac:dyDescent="0.25">
      <c r="A99" s="4">
        <f>MATCH(PlanData[[#This Row],[Mã thiết bị]],EquipmentInfo[Mã thiết bị],0)</f>
        <v>50</v>
      </c>
      <c r="B99" s="4" t="s">
        <v>95</v>
      </c>
      <c r="C99" s="4">
        <v>9</v>
      </c>
      <c r="D99" s="4" t="s">
        <v>16</v>
      </c>
      <c r="E99" s="4"/>
    </row>
    <row r="100" spans="1:5" x14ac:dyDescent="0.25">
      <c r="A100" s="4">
        <f>MATCH(PlanData[[#This Row],[Mã thiết bị]],EquipmentInfo[Mã thiết bị],0)</f>
        <v>51</v>
      </c>
      <c r="B100" s="4" t="s">
        <v>96</v>
      </c>
      <c r="C100" s="4">
        <v>7</v>
      </c>
      <c r="D100" s="4" t="s">
        <v>15</v>
      </c>
      <c r="E100" s="4"/>
    </row>
    <row r="101" spans="1:5" x14ac:dyDescent="0.25">
      <c r="A101" s="4">
        <f>MATCH(PlanData[[#This Row],[Mã thiết bị]],EquipmentInfo[Mã thiết bị],0)</f>
        <v>51</v>
      </c>
      <c r="B101" s="4" t="s">
        <v>96</v>
      </c>
      <c r="C101" s="4">
        <v>10</v>
      </c>
      <c r="D101" s="4" t="s">
        <v>16</v>
      </c>
      <c r="E101" s="4"/>
    </row>
    <row r="102" spans="1:5" x14ac:dyDescent="0.25">
      <c r="A102" s="4">
        <f>MATCH(PlanData[[#This Row],[Mã thiết bị]],EquipmentInfo[Mã thiết bị],0)</f>
        <v>51</v>
      </c>
      <c r="B102" s="4" t="s">
        <v>96</v>
      </c>
      <c r="C102" s="4">
        <v>1</v>
      </c>
      <c r="D102" s="4" t="s">
        <v>16</v>
      </c>
      <c r="E102" s="4"/>
    </row>
    <row r="103" spans="1:5" x14ac:dyDescent="0.25">
      <c r="A103" s="4">
        <f>MATCH(PlanData[[#This Row],[Mã thiết bị]],EquipmentInfo[Mã thiết bị],0)</f>
        <v>51</v>
      </c>
      <c r="B103" s="4" t="s">
        <v>96</v>
      </c>
      <c r="C103" s="4">
        <v>4</v>
      </c>
      <c r="D103" s="4" t="s">
        <v>16</v>
      </c>
      <c r="E103" s="4"/>
    </row>
    <row r="104" spans="1:5" x14ac:dyDescent="0.25">
      <c r="A104" s="4">
        <f>MATCH(PlanData[[#This Row],[Mã thiết bị]],EquipmentInfo[Mã thiết bị],0)</f>
        <v>51</v>
      </c>
      <c r="B104" s="4" t="s">
        <v>96</v>
      </c>
      <c r="C104" s="4">
        <v>3</v>
      </c>
      <c r="D104" s="4" t="s">
        <v>17</v>
      </c>
      <c r="E104" s="4"/>
    </row>
    <row r="105" spans="1:5" x14ac:dyDescent="0.25">
      <c r="A105" s="4">
        <f>MATCH(PlanData[[#This Row],[Mã thiết bị]],EquipmentInfo[Mã thiết bị],0)</f>
        <v>52</v>
      </c>
      <c r="B105" s="4" t="s">
        <v>97</v>
      </c>
      <c r="C105" s="4">
        <v>7</v>
      </c>
      <c r="D105" s="4" t="s">
        <v>15</v>
      </c>
      <c r="E105" s="4"/>
    </row>
    <row r="106" spans="1:5" x14ac:dyDescent="0.25">
      <c r="A106" s="4">
        <f>MATCH(PlanData[[#This Row],[Mã thiết bị]],EquipmentInfo[Mã thiết bị],0)</f>
        <v>52</v>
      </c>
      <c r="B106" s="4" t="s">
        <v>97</v>
      </c>
      <c r="C106" s="4">
        <v>1</v>
      </c>
      <c r="D106" s="4" t="s">
        <v>16</v>
      </c>
      <c r="E106" s="4"/>
    </row>
    <row r="107" spans="1:5" x14ac:dyDescent="0.25">
      <c r="A107" s="4">
        <f>MATCH(PlanData[[#This Row],[Mã thiết bị]],EquipmentInfo[Mã thiết bị],0)</f>
        <v>52</v>
      </c>
      <c r="B107" s="4" t="s">
        <v>97</v>
      </c>
      <c r="C107" s="4">
        <v>7</v>
      </c>
      <c r="D107" s="4" t="s">
        <v>28</v>
      </c>
      <c r="E107" s="4"/>
    </row>
    <row r="108" spans="1:5" x14ac:dyDescent="0.25">
      <c r="A108" s="4">
        <f>MATCH(PlanData[[#This Row],[Mã thiết bị]],EquipmentInfo[Mã thiết bị],0)</f>
        <v>53</v>
      </c>
      <c r="B108" s="4" t="s">
        <v>98</v>
      </c>
      <c r="C108" s="4">
        <v>9</v>
      </c>
      <c r="D108" s="4" t="s">
        <v>15</v>
      </c>
      <c r="E108" s="4"/>
    </row>
    <row r="109" spans="1:5" x14ac:dyDescent="0.25">
      <c r="A109" s="4">
        <f>MATCH(PlanData[[#This Row],[Mã thiết bị]],EquipmentInfo[Mã thiết bị],0)</f>
        <v>53</v>
      </c>
      <c r="B109" s="4" t="s">
        <v>98</v>
      </c>
      <c r="C109" s="4">
        <v>3</v>
      </c>
      <c r="D109" s="4" t="s">
        <v>16</v>
      </c>
      <c r="E109" s="4"/>
    </row>
    <row r="110" spans="1:5" x14ac:dyDescent="0.25">
      <c r="A110" s="4">
        <f>MATCH(PlanData[[#This Row],[Mã thiết bị]],EquipmentInfo[Mã thiết bị],0)</f>
        <v>53</v>
      </c>
      <c r="B110" s="4" t="s">
        <v>98</v>
      </c>
      <c r="C110" s="4">
        <v>9</v>
      </c>
      <c r="D110" s="4" t="s">
        <v>16</v>
      </c>
      <c r="E110" s="4"/>
    </row>
    <row r="111" spans="1:5" x14ac:dyDescent="0.25">
      <c r="A111" s="4">
        <f>MATCH(PlanData[[#This Row],[Mã thiết bị]],EquipmentInfo[Mã thiết bị],0)</f>
        <v>54</v>
      </c>
      <c r="B111" s="4" t="s">
        <v>99</v>
      </c>
      <c r="C111" s="4">
        <v>5</v>
      </c>
      <c r="D111" s="4" t="s">
        <v>16</v>
      </c>
      <c r="E111" s="4"/>
    </row>
    <row r="112" spans="1:5" x14ac:dyDescent="0.25">
      <c r="A112" s="4">
        <f>MATCH(PlanData[[#This Row],[Mã thiết bị]],EquipmentInfo[Mã thiết bị],0)</f>
        <v>55</v>
      </c>
      <c r="B112" s="4" t="s">
        <v>100</v>
      </c>
      <c r="C112" s="4">
        <v>7</v>
      </c>
      <c r="D112" s="4" t="s">
        <v>15</v>
      </c>
      <c r="E112" s="4"/>
    </row>
    <row r="113" spans="1:5" x14ac:dyDescent="0.25">
      <c r="A113" s="4">
        <f>MATCH(PlanData[[#This Row],[Mã thiết bị]],EquipmentInfo[Mã thiết bị],0)</f>
        <v>56</v>
      </c>
      <c r="B113" s="4" t="s">
        <v>101</v>
      </c>
      <c r="C113" s="4">
        <v>8</v>
      </c>
      <c r="D113" s="4" t="s">
        <v>16</v>
      </c>
      <c r="E113" s="4"/>
    </row>
    <row r="114" spans="1:5" x14ac:dyDescent="0.25">
      <c r="A114" s="4">
        <f>MATCH(PlanData[[#This Row],[Mã thiết bị]],EquipmentInfo[Mã thiết bị],0)</f>
        <v>56</v>
      </c>
      <c r="B114" s="4" t="s">
        <v>101</v>
      </c>
      <c r="C114" s="4">
        <v>8</v>
      </c>
      <c r="D114" s="4" t="s">
        <v>15</v>
      </c>
      <c r="E114" s="4"/>
    </row>
    <row r="115" spans="1:5" x14ac:dyDescent="0.25">
      <c r="A115" s="4">
        <f>MATCH(PlanData[[#This Row],[Mã thiết bị]],EquipmentInfo[Mã thiết bị],0)</f>
        <v>56</v>
      </c>
      <c r="B115" s="4" t="s">
        <v>101</v>
      </c>
      <c r="C115" s="4">
        <v>2</v>
      </c>
      <c r="D115" s="4" t="s">
        <v>16</v>
      </c>
      <c r="E115" s="4"/>
    </row>
    <row r="116" spans="1:5" x14ac:dyDescent="0.25">
      <c r="A116" s="4">
        <f>MATCH(PlanData[[#This Row],[Mã thiết bị]],EquipmentInfo[Mã thiết bị],0)</f>
        <v>57</v>
      </c>
      <c r="B116" s="4" t="s">
        <v>102</v>
      </c>
      <c r="C116" s="4">
        <v>10</v>
      </c>
      <c r="D116" s="4" t="s">
        <v>16</v>
      </c>
      <c r="E116" s="4"/>
    </row>
    <row r="117" spans="1:5" x14ac:dyDescent="0.25">
      <c r="A117" s="4">
        <f>MATCH(PlanData[[#This Row],[Mã thiết bị]],EquipmentInfo[Mã thiết bị],0)</f>
        <v>57</v>
      </c>
      <c r="B117" s="4" t="s">
        <v>102</v>
      </c>
      <c r="C117" s="4">
        <v>1</v>
      </c>
      <c r="D117" s="4" t="s">
        <v>16</v>
      </c>
      <c r="E117" s="4"/>
    </row>
    <row r="118" spans="1:5" x14ac:dyDescent="0.25">
      <c r="A118" s="4">
        <f>MATCH(PlanData[[#This Row],[Mã thiết bị]],EquipmentInfo[Mã thiết bị],0)</f>
        <v>57</v>
      </c>
      <c r="B118" s="4" t="s">
        <v>102</v>
      </c>
      <c r="C118" s="4">
        <v>4</v>
      </c>
      <c r="D118" s="4" t="s">
        <v>16</v>
      </c>
      <c r="E118" s="4"/>
    </row>
    <row r="119" spans="1:5" x14ac:dyDescent="0.25">
      <c r="A119" s="4">
        <f>MATCH(PlanData[[#This Row],[Mã thiết bị]],EquipmentInfo[Mã thiết bị],0)</f>
        <v>57</v>
      </c>
      <c r="B119" s="4" t="s">
        <v>102</v>
      </c>
      <c r="C119" s="4">
        <v>7</v>
      </c>
      <c r="D119" s="4" t="s">
        <v>16</v>
      </c>
      <c r="E119" s="4"/>
    </row>
    <row r="120" spans="1:5" x14ac:dyDescent="0.25">
      <c r="A120" s="4">
        <f>MATCH(PlanData[[#This Row],[Mã thiết bị]],EquipmentInfo[Mã thiết bị],0)</f>
        <v>58</v>
      </c>
      <c r="B120" s="4" t="s">
        <v>103</v>
      </c>
      <c r="C120" s="4">
        <v>10</v>
      </c>
      <c r="D120" s="4" t="s">
        <v>16</v>
      </c>
      <c r="E120" s="4"/>
    </row>
    <row r="121" spans="1:5" x14ac:dyDescent="0.25">
      <c r="A121" s="4">
        <f>MATCH(PlanData[[#This Row],[Mã thiết bị]],EquipmentInfo[Mã thiết bị],0)</f>
        <v>58</v>
      </c>
      <c r="B121" s="4" t="s">
        <v>103</v>
      </c>
      <c r="C121" s="4">
        <v>1</v>
      </c>
      <c r="D121" s="4" t="s">
        <v>16</v>
      </c>
      <c r="E121" s="4"/>
    </row>
    <row r="122" spans="1:5" x14ac:dyDescent="0.25">
      <c r="A122" s="4">
        <f>MATCH(PlanData[[#This Row],[Mã thiết bị]],EquipmentInfo[Mã thiết bị],0)</f>
        <v>58</v>
      </c>
      <c r="B122" s="4" t="s">
        <v>103</v>
      </c>
      <c r="C122" s="4">
        <v>4</v>
      </c>
      <c r="D122" s="4" t="s">
        <v>16</v>
      </c>
      <c r="E122" s="4"/>
    </row>
    <row r="123" spans="1:5" x14ac:dyDescent="0.25">
      <c r="A123" s="4">
        <f>MATCH(PlanData[[#This Row],[Mã thiết bị]],EquipmentInfo[Mã thiết bị],0)</f>
        <v>58</v>
      </c>
      <c r="B123" s="4" t="s">
        <v>103</v>
      </c>
      <c r="C123" s="4">
        <v>7</v>
      </c>
      <c r="D123" s="4" t="s">
        <v>16</v>
      </c>
      <c r="E123" s="4"/>
    </row>
    <row r="124" spans="1:5" x14ac:dyDescent="0.25">
      <c r="A124" s="4">
        <f>MATCH(PlanData[[#This Row],[Mã thiết bị]],EquipmentInfo[Mã thiết bị],0)</f>
        <v>59</v>
      </c>
      <c r="B124" s="4" t="s">
        <v>104</v>
      </c>
      <c r="C124" s="4">
        <v>5</v>
      </c>
      <c r="D124" s="4" t="s">
        <v>16</v>
      </c>
      <c r="E124" s="4" t="s">
        <v>133</v>
      </c>
    </row>
    <row r="125" spans="1:5" x14ac:dyDescent="0.25">
      <c r="A125" s="4">
        <f>MATCH(PlanData[[#This Row],[Mã thiết bị]],EquipmentInfo[Mã thiết bị],0)</f>
        <v>60</v>
      </c>
      <c r="B125" s="4" t="s">
        <v>105</v>
      </c>
      <c r="C125" s="4">
        <v>7</v>
      </c>
      <c r="D125" s="4" t="s">
        <v>15</v>
      </c>
      <c r="E125" s="4"/>
    </row>
    <row r="126" spans="1:5" x14ac:dyDescent="0.25">
      <c r="A126" s="4">
        <f>MATCH(PlanData[[#This Row],[Mã thiết bị]],EquipmentInfo[Mã thiết bị],0)</f>
        <v>61</v>
      </c>
      <c r="B126" s="4" t="s">
        <v>106</v>
      </c>
      <c r="C126" s="4">
        <v>4</v>
      </c>
      <c r="D126" s="4" t="s">
        <v>15</v>
      </c>
      <c r="E126" s="4"/>
    </row>
    <row r="127" spans="1:5" x14ac:dyDescent="0.25">
      <c r="A127" s="4">
        <f>MATCH(PlanData[[#This Row],[Mã thiết bị]],EquipmentInfo[Mã thiết bị],0)</f>
        <v>62</v>
      </c>
      <c r="B127" s="4" t="s">
        <v>107</v>
      </c>
      <c r="C127" s="4">
        <v>4</v>
      </c>
      <c r="D127" s="4" t="s">
        <v>15</v>
      </c>
      <c r="E127" s="4"/>
    </row>
    <row r="128" spans="1:5" x14ac:dyDescent="0.25">
      <c r="A128" s="4">
        <f>MATCH(PlanData[[#This Row],[Mã thiết bị]],EquipmentInfo[Mã thiết bị],0)</f>
        <v>63</v>
      </c>
      <c r="B128" s="4" t="s">
        <v>108</v>
      </c>
      <c r="C128" s="4">
        <v>4</v>
      </c>
      <c r="D128" s="4" t="s">
        <v>15</v>
      </c>
      <c r="E128" s="4"/>
    </row>
    <row r="129" spans="1:5" x14ac:dyDescent="0.25">
      <c r="A129" s="4">
        <f>MATCH(PlanData[[#This Row],[Mã thiết bị]],EquipmentInfo[Mã thiết bị],0)</f>
        <v>64</v>
      </c>
      <c r="B129" s="4" t="s">
        <v>109</v>
      </c>
      <c r="C129" s="4">
        <v>4</v>
      </c>
      <c r="D129" s="4" t="s">
        <v>15</v>
      </c>
      <c r="E129" s="4"/>
    </row>
    <row r="130" spans="1:5" x14ac:dyDescent="0.25">
      <c r="A130" s="4">
        <f>MATCH(PlanData[[#This Row],[Mã thiết bị]],EquipmentInfo[Mã thiết bị],0)</f>
        <v>65</v>
      </c>
      <c r="B130" s="4" t="s">
        <v>110</v>
      </c>
      <c r="C130" s="4">
        <v>4</v>
      </c>
      <c r="D130" s="4" t="s">
        <v>15</v>
      </c>
      <c r="E130" s="4"/>
    </row>
    <row r="131" spans="1:5" x14ac:dyDescent="0.25">
      <c r="A131" s="4">
        <f>MATCH(PlanData[[#This Row],[Mã thiết bị]],EquipmentInfo[Mã thiết bị],0)</f>
        <v>66</v>
      </c>
      <c r="B131" s="4" t="s">
        <v>111</v>
      </c>
      <c r="C131" s="4">
        <v>4</v>
      </c>
      <c r="D131" s="4" t="s">
        <v>15</v>
      </c>
      <c r="E131" s="4"/>
    </row>
    <row r="132" spans="1:5" x14ac:dyDescent="0.25">
      <c r="A132" s="4">
        <f>MATCH(PlanData[[#This Row],[Mã thiết bị]],EquipmentInfo[Mã thiết bị],0)</f>
        <v>67</v>
      </c>
      <c r="B132" s="4" t="s">
        <v>112</v>
      </c>
      <c r="C132" s="4">
        <v>8</v>
      </c>
      <c r="D132" s="4" t="s">
        <v>15</v>
      </c>
      <c r="E132" s="4"/>
    </row>
    <row r="133" spans="1:5" x14ac:dyDescent="0.25">
      <c r="A133" s="4">
        <f>MATCH(PlanData[[#This Row],[Mã thiết bị]],EquipmentInfo[Mã thiết bị],0)</f>
        <v>67</v>
      </c>
      <c r="B133" s="4" t="s">
        <v>112</v>
      </c>
      <c r="C133" s="4">
        <v>2</v>
      </c>
      <c r="D133" s="4" t="s">
        <v>16</v>
      </c>
      <c r="E133" s="4"/>
    </row>
    <row r="134" spans="1:5" x14ac:dyDescent="0.25">
      <c r="A134" s="4">
        <f>MATCH(PlanData[[#This Row],[Mã thiết bị]],EquipmentInfo[Mã thiết bị],0)</f>
        <v>67</v>
      </c>
      <c r="B134" s="4" t="s">
        <v>112</v>
      </c>
      <c r="C134" s="4">
        <v>8</v>
      </c>
      <c r="D134" s="4" t="s">
        <v>16</v>
      </c>
      <c r="E134" s="4"/>
    </row>
    <row r="135" spans="1:5" x14ac:dyDescent="0.25">
      <c r="A135" s="4">
        <f>MATCH(PlanData[[#This Row],[Mã thiết bị]],EquipmentInfo[Mã thiết bị],0)</f>
        <v>68</v>
      </c>
      <c r="B135" s="4" t="s">
        <v>113</v>
      </c>
      <c r="C135" s="4">
        <v>11</v>
      </c>
      <c r="D135" s="4" t="s">
        <v>15</v>
      </c>
      <c r="E135" s="4"/>
    </row>
    <row r="136" spans="1:5" x14ac:dyDescent="0.25">
      <c r="A136" s="4">
        <f>MATCH(PlanData[[#This Row],[Mã thiết bị]],EquipmentInfo[Mã thiết bị],0)</f>
        <v>68</v>
      </c>
      <c r="B136" s="4" t="s">
        <v>113</v>
      </c>
      <c r="C136" s="4">
        <v>5</v>
      </c>
      <c r="D136" s="4" t="s">
        <v>15</v>
      </c>
      <c r="E136" s="4"/>
    </row>
    <row r="137" spans="1:5" x14ac:dyDescent="0.25">
      <c r="A137" s="4">
        <f>MATCH(PlanData[[#This Row],[Mã thiết bị]],EquipmentInfo[Mã thiết bị],0)</f>
        <v>69</v>
      </c>
      <c r="B137" s="4" t="s">
        <v>114</v>
      </c>
      <c r="C137" s="4">
        <v>11</v>
      </c>
      <c r="D137" s="4" t="s">
        <v>15</v>
      </c>
      <c r="E137" s="4"/>
    </row>
    <row r="138" spans="1:5" x14ac:dyDescent="0.25">
      <c r="A138" s="4">
        <f>MATCH(PlanData[[#This Row],[Mã thiết bị]],EquipmentInfo[Mã thiết bị],0)</f>
        <v>69</v>
      </c>
      <c r="B138" s="4" t="s">
        <v>114</v>
      </c>
      <c r="C138" s="4">
        <v>5</v>
      </c>
      <c r="D138" s="4" t="s">
        <v>15</v>
      </c>
      <c r="E138" s="4"/>
    </row>
    <row r="139" spans="1:5" x14ac:dyDescent="0.25">
      <c r="A139" s="4">
        <f>MATCH(PlanData[[#This Row],[Mã thiết bị]],EquipmentInfo[Mã thiết bị],0)</f>
        <v>70</v>
      </c>
      <c r="B139" s="4" t="s">
        <v>115</v>
      </c>
      <c r="C139" s="4">
        <v>11</v>
      </c>
      <c r="D139" s="4" t="s">
        <v>15</v>
      </c>
      <c r="E139" s="4"/>
    </row>
    <row r="140" spans="1:5" x14ac:dyDescent="0.25">
      <c r="A140" s="4">
        <f>MATCH(PlanData[[#This Row],[Mã thiết bị]],EquipmentInfo[Mã thiết bị],0)</f>
        <v>70</v>
      </c>
      <c r="B140" s="4" t="s">
        <v>115</v>
      </c>
      <c r="C140" s="4">
        <v>5</v>
      </c>
      <c r="D140" s="4" t="s">
        <v>15</v>
      </c>
      <c r="E140" s="4"/>
    </row>
    <row r="141" spans="1:5" x14ac:dyDescent="0.25">
      <c r="A141" s="4">
        <f>MATCH(PlanData[[#This Row],[Mã thiết bị]],EquipmentInfo[Mã thiết bị],0)</f>
        <v>71</v>
      </c>
      <c r="B141" s="4" t="s">
        <v>116</v>
      </c>
      <c r="C141" s="4">
        <v>7</v>
      </c>
      <c r="D141" s="4" t="s">
        <v>16</v>
      </c>
      <c r="E141" s="4"/>
    </row>
    <row r="142" spans="1:5" x14ac:dyDescent="0.25">
      <c r="A142" s="4">
        <f>MATCH(PlanData[[#This Row],[Mã thiết bị]],EquipmentInfo[Mã thiết bị],0)</f>
        <v>72</v>
      </c>
      <c r="B142" s="4" t="s">
        <v>117</v>
      </c>
      <c r="C142" s="4">
        <v>9</v>
      </c>
      <c r="D142" s="4" t="s">
        <v>16</v>
      </c>
      <c r="E142" s="4"/>
    </row>
    <row r="143" spans="1:5" x14ac:dyDescent="0.25">
      <c r="A143" s="4">
        <f>MATCH(PlanData[[#This Row],[Mã thiết bị]],EquipmentInfo[Mã thiết bị],0)</f>
        <v>73</v>
      </c>
      <c r="B143" s="4" t="s">
        <v>118</v>
      </c>
      <c r="C143" s="4">
        <v>11</v>
      </c>
      <c r="D143" s="4" t="s">
        <v>16</v>
      </c>
      <c r="E143" s="4"/>
    </row>
    <row r="144" spans="1:5" x14ac:dyDescent="0.25">
      <c r="A144" s="4">
        <f>MATCH(PlanData[[#This Row],[Mã thiết bị]],EquipmentInfo[Mã thiết bị],0)</f>
        <v>74</v>
      </c>
      <c r="B144" s="4" t="s">
        <v>119</v>
      </c>
      <c r="C144" s="4">
        <v>11</v>
      </c>
      <c r="D144" s="4" t="s">
        <v>16</v>
      </c>
      <c r="E144" s="4"/>
    </row>
    <row r="145" spans="1:5" x14ac:dyDescent="0.25">
      <c r="A145" s="4">
        <f>MATCH(PlanData[[#This Row],[Mã thiết bị]],EquipmentInfo[Mã thiết bị],0)</f>
        <v>75</v>
      </c>
      <c r="B145" s="4" t="s">
        <v>120</v>
      </c>
      <c r="C145" s="4">
        <v>11</v>
      </c>
      <c r="D145" s="4" t="s">
        <v>16</v>
      </c>
      <c r="E145" s="4"/>
    </row>
    <row r="146" spans="1:5" x14ac:dyDescent="0.25">
      <c r="A146" s="4">
        <f>MATCH(PlanData[[#This Row],[Mã thiết bị]],EquipmentInfo[Mã thiết bị],0)</f>
        <v>76</v>
      </c>
      <c r="B146" s="4" t="s">
        <v>121</v>
      </c>
      <c r="C146" s="4">
        <v>11</v>
      </c>
      <c r="D146" s="4" t="s">
        <v>16</v>
      </c>
      <c r="E146" s="4"/>
    </row>
    <row r="147" spans="1:5" x14ac:dyDescent="0.25">
      <c r="A147" s="4">
        <f>MATCH(PlanData[[#This Row],[Mã thiết bị]],EquipmentInfo[Mã thiết bị],0)</f>
        <v>77</v>
      </c>
      <c r="B147" s="4" t="s">
        <v>122</v>
      </c>
      <c r="C147" s="4">
        <v>8</v>
      </c>
      <c r="D147" s="4" t="s">
        <v>15</v>
      </c>
      <c r="E147" s="4"/>
    </row>
    <row r="148" spans="1:5" x14ac:dyDescent="0.25">
      <c r="A148" s="4">
        <f>MATCH(PlanData[[#This Row],[Mã thiết bị]],EquipmentInfo[Mã thiết bị],0)</f>
        <v>77</v>
      </c>
      <c r="B148" s="4" t="s">
        <v>122</v>
      </c>
      <c r="C148" s="4">
        <v>8</v>
      </c>
      <c r="D148" s="4" t="s">
        <v>16</v>
      </c>
      <c r="E148" s="4"/>
    </row>
    <row r="149" spans="1:5" x14ac:dyDescent="0.25">
      <c r="A149" s="4">
        <f>MATCH(PlanData[[#This Row],[Mã thiết bị]],EquipmentInfo[Mã thiết bị],0)</f>
        <v>77</v>
      </c>
      <c r="B149" s="4" t="s">
        <v>122</v>
      </c>
      <c r="C149" s="4">
        <v>1</v>
      </c>
      <c r="D149" s="4" t="s">
        <v>16</v>
      </c>
      <c r="E149" s="4"/>
    </row>
    <row r="150" spans="1:5" x14ac:dyDescent="0.25">
      <c r="A150" s="4">
        <f>MATCH(PlanData[[#This Row],[Mã thiết bị]],EquipmentInfo[Mã thiết bị],0)</f>
        <v>78</v>
      </c>
      <c r="B150" s="4" t="s">
        <v>123</v>
      </c>
      <c r="C150" s="4">
        <v>4</v>
      </c>
      <c r="D150" s="4" t="s">
        <v>15</v>
      </c>
      <c r="E150" s="4"/>
    </row>
    <row r="151" spans="1:5" x14ac:dyDescent="0.25">
      <c r="A151" s="4">
        <f>MATCH(PlanData[[#This Row],[Mã thiết bị]],EquipmentInfo[Mã thiết bị],0)</f>
        <v>79</v>
      </c>
      <c r="B151" s="4" t="s">
        <v>124</v>
      </c>
      <c r="C151" s="4">
        <v>7</v>
      </c>
      <c r="D151" s="4" t="s">
        <v>15</v>
      </c>
      <c r="E151" s="4"/>
    </row>
    <row r="152" spans="1:5" x14ac:dyDescent="0.25">
      <c r="A152" s="4">
        <f>MATCH(PlanData[[#This Row],[Mã thiết bị]],EquipmentInfo[Mã thiết bị],0)</f>
        <v>80</v>
      </c>
      <c r="B152" s="4" t="s">
        <v>125</v>
      </c>
      <c r="C152" s="4">
        <v>5</v>
      </c>
      <c r="D152" s="4" t="s">
        <v>15</v>
      </c>
      <c r="E152" s="4"/>
    </row>
    <row r="153" spans="1:5" x14ac:dyDescent="0.25">
      <c r="A153" s="4">
        <f>MATCH(PlanData[[#This Row],[Mã thiết bị]],EquipmentInfo[Mã thiết bị],0)</f>
        <v>80</v>
      </c>
      <c r="B153" s="4" t="s">
        <v>125</v>
      </c>
      <c r="C153" s="4">
        <v>11</v>
      </c>
      <c r="D153" s="4" t="s">
        <v>15</v>
      </c>
      <c r="E153" s="4"/>
    </row>
    <row r="154" spans="1:5" x14ac:dyDescent="0.25">
      <c r="A154" s="4">
        <f>MATCH(PlanData[[#This Row],[Mã thiết bị]],EquipmentInfo[Mã thiết bị],0)</f>
        <v>81</v>
      </c>
      <c r="B154" s="4" t="s">
        <v>126</v>
      </c>
      <c r="C154" s="4">
        <v>7</v>
      </c>
      <c r="D154" s="4" t="s">
        <v>15</v>
      </c>
      <c r="E154" s="4"/>
    </row>
    <row r="155" spans="1:5" x14ac:dyDescent="0.25">
      <c r="A155" s="4">
        <f>MATCH(PlanData[[#This Row],[Mã thiết bị]],EquipmentInfo[Mã thiết bị],0)</f>
        <v>81</v>
      </c>
      <c r="B155" s="4" t="s">
        <v>126</v>
      </c>
      <c r="C155" s="4">
        <v>1</v>
      </c>
      <c r="D155" s="4" t="s">
        <v>16</v>
      </c>
      <c r="E155" s="4"/>
    </row>
    <row r="156" spans="1:5" x14ac:dyDescent="0.25">
      <c r="A156" s="4">
        <f>MATCH(PlanData[[#This Row],[Mã thiết bị]],EquipmentInfo[Mã thiết bị],0)</f>
        <v>81</v>
      </c>
      <c r="B156" s="4" t="s">
        <v>126</v>
      </c>
      <c r="C156" s="4">
        <v>7</v>
      </c>
      <c r="D156" s="4" t="s">
        <v>28</v>
      </c>
      <c r="E156" s="4"/>
    </row>
    <row r="157" spans="1:5" x14ac:dyDescent="0.25">
      <c r="A157" s="4">
        <f>MATCH(PlanData[[#This Row],[Mã thiết bị]],EquipmentInfo[Mã thiết bị],0)</f>
        <v>82</v>
      </c>
      <c r="B157" s="4" t="s">
        <v>127</v>
      </c>
      <c r="C157" s="4">
        <v>10</v>
      </c>
      <c r="D157" s="4" t="s">
        <v>15</v>
      </c>
      <c r="E157" s="4"/>
    </row>
    <row r="158" spans="1:5" x14ac:dyDescent="0.25">
      <c r="A158" s="4">
        <f>MATCH(PlanData[[#This Row],[Mã thiết bị]],EquipmentInfo[Mã thiết bị],0)</f>
        <v>83</v>
      </c>
      <c r="B158" s="4" t="s">
        <v>128</v>
      </c>
      <c r="C158" s="4">
        <v>7</v>
      </c>
      <c r="D158" s="4" t="s">
        <v>15</v>
      </c>
      <c r="E158" s="4"/>
    </row>
    <row r="159" spans="1:5" x14ac:dyDescent="0.25">
      <c r="A159" s="4">
        <f>MATCH(PlanData[[#This Row],[Mã thiết bị]],EquipmentInfo[Mã thiết bị],0)</f>
        <v>83</v>
      </c>
      <c r="B159" s="4" t="s">
        <v>128</v>
      </c>
      <c r="C159" s="4">
        <v>1</v>
      </c>
      <c r="D159" s="4" t="s">
        <v>16</v>
      </c>
      <c r="E159" s="4"/>
    </row>
    <row r="160" spans="1:5" x14ac:dyDescent="0.25">
      <c r="A160" s="4">
        <f>MATCH(PlanData[[#This Row],[Mã thiết bị]],EquipmentInfo[Mã thiết bị],0)</f>
        <v>83</v>
      </c>
      <c r="B160" s="4" t="s">
        <v>128</v>
      </c>
      <c r="C160" s="4">
        <v>7</v>
      </c>
      <c r="D160" s="4" t="s">
        <v>28</v>
      </c>
      <c r="E160" s="4"/>
    </row>
    <row r="161" spans="1:5" x14ac:dyDescent="0.25">
      <c r="A161" s="4">
        <f>MATCH(PlanData[[#This Row],[Mã thiết bị]],EquipmentInfo[Mã thiết bị],0)</f>
        <v>84</v>
      </c>
      <c r="B161" s="4" t="s">
        <v>129</v>
      </c>
      <c r="C161" s="4">
        <v>4</v>
      </c>
      <c r="D161" s="4" t="s">
        <v>27</v>
      </c>
      <c r="E161" s="4" t="s">
        <v>721</v>
      </c>
    </row>
    <row r="162" spans="1:5" x14ac:dyDescent="0.25">
      <c r="A162" s="4">
        <f>MATCH(PlanData[[#This Row],[Mã thiết bị]],EquipmentInfo[Mã thiết bị],0)</f>
        <v>84</v>
      </c>
      <c r="B162" s="4" t="s">
        <v>129</v>
      </c>
      <c r="C162" s="4">
        <v>12</v>
      </c>
      <c r="D162" s="4" t="s">
        <v>28</v>
      </c>
      <c r="E162" s="4"/>
    </row>
    <row r="163" spans="1:5" x14ac:dyDescent="0.25">
      <c r="A163" s="4">
        <f>MATCH(PlanData[[#This Row],[Mã thiết bị]],EquipmentInfo[Mã thiết bị],0)</f>
        <v>85</v>
      </c>
      <c r="B163" s="4" t="s">
        <v>130</v>
      </c>
      <c r="C163" s="4">
        <v>10</v>
      </c>
      <c r="D163" s="4" t="s">
        <v>16</v>
      </c>
      <c r="E163" s="4"/>
    </row>
    <row r="164" spans="1:5" x14ac:dyDescent="0.25">
      <c r="A164" s="4">
        <f>MATCH(PlanData[[#This Row],[Mã thiết bị]],EquipmentInfo[Mã thiết bị],0)</f>
        <v>86</v>
      </c>
      <c r="B164" s="4" t="s">
        <v>131</v>
      </c>
      <c r="C164" s="4">
        <v>6</v>
      </c>
      <c r="D164" s="4" t="s">
        <v>16</v>
      </c>
      <c r="E164" s="4" t="s">
        <v>133</v>
      </c>
    </row>
    <row r="165" spans="1:5" x14ac:dyDescent="0.25">
      <c r="A165" s="4">
        <f>MATCH(PlanData[[#This Row],[Mã thiết bị]],EquipmentInfo[Mã thiết bị],0)</f>
        <v>87</v>
      </c>
      <c r="B165" s="4" t="s">
        <v>132</v>
      </c>
      <c r="C165" s="4">
        <v>6</v>
      </c>
      <c r="D165" s="4" t="s">
        <v>16</v>
      </c>
      <c r="E165" s="4" t="s">
        <v>133</v>
      </c>
    </row>
    <row r="166" spans="1:5" x14ac:dyDescent="0.25">
      <c r="A166" s="4">
        <f>MATCH(PlanData[[#This Row],[Mã thiết bị]],EquipmentInfo[Mã thiết bị],0)</f>
        <v>88</v>
      </c>
      <c r="B166" s="4" t="s">
        <v>134</v>
      </c>
      <c r="C166" s="4">
        <v>9</v>
      </c>
      <c r="D166" s="4" t="s">
        <v>16</v>
      </c>
      <c r="E166" s="4" t="s">
        <v>133</v>
      </c>
    </row>
    <row r="167" spans="1:5" x14ac:dyDescent="0.25">
      <c r="A167" s="4">
        <f>MATCH(PlanData[[#This Row],[Mã thiết bị]],EquipmentInfo[Mã thiết bị],0)</f>
        <v>89</v>
      </c>
      <c r="B167" s="4" t="s">
        <v>135</v>
      </c>
      <c r="C167" s="4">
        <v>10</v>
      </c>
      <c r="D167" s="4" t="s">
        <v>16</v>
      </c>
      <c r="E167" s="4"/>
    </row>
    <row r="168" spans="1:5" x14ac:dyDescent="0.25">
      <c r="A168" s="4">
        <f>MATCH(PlanData[[#This Row],[Mã thiết bị]],EquipmentInfo[Mã thiết bị],0)</f>
        <v>90</v>
      </c>
      <c r="B168" s="4" t="s">
        <v>136</v>
      </c>
      <c r="C168" s="4">
        <v>8</v>
      </c>
      <c r="D168" s="4" t="s">
        <v>15</v>
      </c>
      <c r="E168" s="4"/>
    </row>
    <row r="169" spans="1:5" x14ac:dyDescent="0.25">
      <c r="A169" s="4">
        <f>MATCH(PlanData[[#This Row],[Mã thiết bị]],EquipmentInfo[Mã thiết bị],0)</f>
        <v>90</v>
      </c>
      <c r="B169" s="4" t="s">
        <v>136</v>
      </c>
      <c r="C169" s="4">
        <v>8</v>
      </c>
      <c r="D169" s="4" t="s">
        <v>16</v>
      </c>
      <c r="E169" s="4" t="s">
        <v>705</v>
      </c>
    </row>
    <row r="170" spans="1:5" x14ac:dyDescent="0.25">
      <c r="A170" s="4">
        <f>MATCH(PlanData[[#This Row],[Mã thiết bị]],EquipmentInfo[Mã thiết bị],0)</f>
        <v>91</v>
      </c>
      <c r="B170" s="4" t="s">
        <v>137</v>
      </c>
      <c r="C170" s="4">
        <v>7</v>
      </c>
      <c r="D170" s="4" t="s">
        <v>15</v>
      </c>
      <c r="E170" s="4"/>
    </row>
    <row r="171" spans="1:5" x14ac:dyDescent="0.25">
      <c r="A171" s="4">
        <f>MATCH(PlanData[[#This Row],[Mã thiết bị]],EquipmentInfo[Mã thiết bị],0)</f>
        <v>91</v>
      </c>
      <c r="B171" s="4" t="s">
        <v>137</v>
      </c>
      <c r="C171" s="4">
        <v>10</v>
      </c>
      <c r="D171" s="4" t="s">
        <v>16</v>
      </c>
      <c r="E171" s="4"/>
    </row>
    <row r="172" spans="1:5" x14ac:dyDescent="0.25">
      <c r="A172" s="4">
        <f>MATCH(PlanData[[#This Row],[Mã thiết bị]],EquipmentInfo[Mã thiết bị],0)</f>
        <v>91</v>
      </c>
      <c r="B172" s="4" t="s">
        <v>137</v>
      </c>
      <c r="C172" s="4">
        <v>1</v>
      </c>
      <c r="D172" s="4" t="s">
        <v>16</v>
      </c>
      <c r="E172" s="4"/>
    </row>
    <row r="173" spans="1:5" x14ac:dyDescent="0.25">
      <c r="A173" s="4">
        <f>MATCH(PlanData[[#This Row],[Mã thiết bị]],EquipmentInfo[Mã thiết bị],0)</f>
        <v>91</v>
      </c>
      <c r="B173" s="4" t="s">
        <v>137</v>
      </c>
      <c r="C173" s="4">
        <v>4</v>
      </c>
      <c r="D173" s="4" t="s">
        <v>16</v>
      </c>
      <c r="E173" s="4"/>
    </row>
    <row r="174" spans="1:5" x14ac:dyDescent="0.25">
      <c r="A174" s="4">
        <f>MATCH(PlanData[[#This Row],[Mã thiết bị]],EquipmentInfo[Mã thiết bị],0)</f>
        <v>91</v>
      </c>
      <c r="B174" s="4" t="s">
        <v>137</v>
      </c>
      <c r="C174" s="4">
        <v>3</v>
      </c>
      <c r="D174" s="4" t="s">
        <v>17</v>
      </c>
      <c r="E174" s="4"/>
    </row>
    <row r="175" spans="1:5" x14ac:dyDescent="0.25">
      <c r="A175" s="4">
        <f>MATCH(PlanData[[#This Row],[Mã thiết bị]],EquipmentInfo[Mã thiết bị],0)</f>
        <v>92</v>
      </c>
      <c r="B175" s="4" t="s">
        <v>139</v>
      </c>
      <c r="C175" s="4">
        <v>7</v>
      </c>
      <c r="D175" s="4" t="s">
        <v>15</v>
      </c>
      <c r="E175" s="4"/>
    </row>
    <row r="176" spans="1:5" x14ac:dyDescent="0.25">
      <c r="A176" s="4">
        <f>MATCH(PlanData[[#This Row],[Mã thiết bị]],EquipmentInfo[Mã thiết bị],0)</f>
        <v>92</v>
      </c>
      <c r="B176" s="4" t="s">
        <v>139</v>
      </c>
      <c r="C176" s="4">
        <v>10</v>
      </c>
      <c r="D176" s="4" t="s">
        <v>16</v>
      </c>
      <c r="E176" s="4"/>
    </row>
    <row r="177" spans="1:5" x14ac:dyDescent="0.25">
      <c r="A177" s="4">
        <f>MATCH(PlanData[[#This Row],[Mã thiết bị]],EquipmentInfo[Mã thiết bị],0)</f>
        <v>92</v>
      </c>
      <c r="B177" s="4" t="s">
        <v>139</v>
      </c>
      <c r="C177" s="4">
        <v>1</v>
      </c>
      <c r="D177" s="4" t="s">
        <v>16</v>
      </c>
      <c r="E177" s="4"/>
    </row>
    <row r="178" spans="1:5" x14ac:dyDescent="0.25">
      <c r="A178" s="4">
        <f>MATCH(PlanData[[#This Row],[Mã thiết bị]],EquipmentInfo[Mã thiết bị],0)</f>
        <v>92</v>
      </c>
      <c r="B178" s="4" t="s">
        <v>139</v>
      </c>
      <c r="C178" s="4">
        <v>4</v>
      </c>
      <c r="D178" s="4" t="s">
        <v>16</v>
      </c>
      <c r="E178" s="4"/>
    </row>
    <row r="179" spans="1:5" x14ac:dyDescent="0.25">
      <c r="A179" s="4">
        <f>MATCH(PlanData[[#This Row],[Mã thiết bị]],EquipmentInfo[Mã thiết bị],0)</f>
        <v>92</v>
      </c>
      <c r="B179" s="4" t="s">
        <v>139</v>
      </c>
      <c r="C179" s="4">
        <v>3</v>
      </c>
      <c r="D179" s="4" t="s">
        <v>17</v>
      </c>
      <c r="E179" s="4"/>
    </row>
    <row r="180" spans="1:5" x14ac:dyDescent="0.25">
      <c r="A180" s="4">
        <f>MATCH(PlanData[[#This Row],[Mã thiết bị]],EquipmentInfo[Mã thiết bị],0)</f>
        <v>93</v>
      </c>
      <c r="B180" s="4" t="s">
        <v>138</v>
      </c>
      <c r="C180" s="4">
        <v>7</v>
      </c>
      <c r="D180" s="4" t="s">
        <v>15</v>
      </c>
      <c r="E180" s="4"/>
    </row>
    <row r="181" spans="1:5" x14ac:dyDescent="0.25">
      <c r="A181" s="4">
        <f>MATCH(PlanData[[#This Row],[Mã thiết bị]],EquipmentInfo[Mã thiết bị],0)</f>
        <v>93</v>
      </c>
      <c r="B181" s="4" t="s">
        <v>138</v>
      </c>
      <c r="C181" s="4">
        <v>10</v>
      </c>
      <c r="D181" s="4" t="s">
        <v>16</v>
      </c>
      <c r="E181" s="4"/>
    </row>
    <row r="182" spans="1:5" x14ac:dyDescent="0.25">
      <c r="A182" s="4">
        <f>MATCH(PlanData[[#This Row],[Mã thiết bị]],EquipmentInfo[Mã thiết bị],0)</f>
        <v>93</v>
      </c>
      <c r="B182" s="4" t="s">
        <v>138</v>
      </c>
      <c r="C182" s="4">
        <v>1</v>
      </c>
      <c r="D182" s="4" t="s">
        <v>16</v>
      </c>
      <c r="E182" s="4"/>
    </row>
    <row r="183" spans="1:5" x14ac:dyDescent="0.25">
      <c r="A183" s="4">
        <f>MATCH(PlanData[[#This Row],[Mã thiết bị]],EquipmentInfo[Mã thiết bị],0)</f>
        <v>93</v>
      </c>
      <c r="B183" s="4" t="s">
        <v>138</v>
      </c>
      <c r="C183" s="4">
        <v>4</v>
      </c>
      <c r="D183" s="4" t="s">
        <v>16</v>
      </c>
      <c r="E183" s="4"/>
    </row>
    <row r="184" spans="1:5" x14ac:dyDescent="0.25">
      <c r="A184" s="4">
        <f>MATCH(PlanData[[#This Row],[Mã thiết bị]],EquipmentInfo[Mã thiết bị],0)</f>
        <v>93</v>
      </c>
      <c r="B184" s="4" t="s">
        <v>138</v>
      </c>
      <c r="C184" s="4">
        <v>3</v>
      </c>
      <c r="D184" s="4" t="s">
        <v>17</v>
      </c>
      <c r="E184" s="4"/>
    </row>
    <row r="185" spans="1:5" x14ac:dyDescent="0.25">
      <c r="A185" s="4">
        <f>MATCH(PlanData[[#This Row],[Mã thiết bị]],EquipmentInfo[Mã thiết bị],0)</f>
        <v>94</v>
      </c>
      <c r="B185" s="4" t="s">
        <v>140</v>
      </c>
      <c r="C185" s="4">
        <v>8</v>
      </c>
      <c r="D185" s="4" t="s">
        <v>15</v>
      </c>
      <c r="E185" s="4"/>
    </row>
    <row r="186" spans="1:5" x14ac:dyDescent="0.25">
      <c r="A186" s="4">
        <f>MATCH(PlanData[[#This Row],[Mã thiết bị]],EquipmentInfo[Mã thiết bị],0)</f>
        <v>94</v>
      </c>
      <c r="B186" s="4" t="s">
        <v>140</v>
      </c>
      <c r="C186" s="4">
        <v>8</v>
      </c>
      <c r="D186" s="4" t="s">
        <v>16</v>
      </c>
      <c r="E186" s="4"/>
    </row>
    <row r="187" spans="1:5" x14ac:dyDescent="0.25">
      <c r="A187" s="4">
        <f>MATCH(PlanData[[#This Row],[Mã thiết bị]],EquipmentInfo[Mã thiết bị],0)</f>
        <v>94</v>
      </c>
      <c r="B187" s="4" t="s">
        <v>140</v>
      </c>
      <c r="C187" s="4">
        <v>2</v>
      </c>
      <c r="D187" s="4" t="s">
        <v>16</v>
      </c>
      <c r="E187" s="4"/>
    </row>
    <row r="188" spans="1:5" x14ac:dyDescent="0.25">
      <c r="A188" s="4">
        <f>MATCH(PlanData[[#This Row],[Mã thiết bị]],EquipmentInfo[Mã thiết bị],0)</f>
        <v>95</v>
      </c>
      <c r="B188" s="4" t="s">
        <v>141</v>
      </c>
      <c r="C188" s="4">
        <v>1</v>
      </c>
      <c r="D188" s="4" t="s">
        <v>16</v>
      </c>
      <c r="E188" s="4"/>
    </row>
    <row r="189" spans="1:5" x14ac:dyDescent="0.25">
      <c r="A189" s="4">
        <f>MATCH(PlanData[[#This Row],[Mã thiết bị]],EquipmentInfo[Mã thiết bị],0)</f>
        <v>95</v>
      </c>
      <c r="B189" s="4" t="s">
        <v>141</v>
      </c>
      <c r="C189" s="4">
        <v>7</v>
      </c>
      <c r="D189" s="4" t="s">
        <v>16</v>
      </c>
      <c r="E189" s="4"/>
    </row>
    <row r="190" spans="1:5" x14ac:dyDescent="0.25">
      <c r="A190" s="4">
        <f>MATCH(PlanData[[#This Row],[Mã thiết bị]],EquipmentInfo[Mã thiết bị],0)</f>
        <v>96</v>
      </c>
      <c r="B190" s="4" t="s">
        <v>142</v>
      </c>
      <c r="C190" s="4">
        <v>4</v>
      </c>
      <c r="D190" s="4" t="s">
        <v>15</v>
      </c>
      <c r="E190" s="4"/>
    </row>
    <row r="191" spans="1:5" x14ac:dyDescent="0.25">
      <c r="A191" s="4">
        <f>MATCH(PlanData[[#This Row],[Mã thiết bị]],EquipmentInfo[Mã thiết bị],0)</f>
        <v>96</v>
      </c>
      <c r="B191" s="4" t="s">
        <v>142</v>
      </c>
      <c r="C191" s="4">
        <v>4</v>
      </c>
      <c r="D191" s="4" t="s">
        <v>16</v>
      </c>
      <c r="E191" s="4"/>
    </row>
    <row r="192" spans="1:5" x14ac:dyDescent="0.25">
      <c r="A192" s="4">
        <f>MATCH(PlanData[[#This Row],[Mã thiết bị]],EquipmentInfo[Mã thiết bị],0)</f>
        <v>96</v>
      </c>
      <c r="B192" s="4" t="s">
        <v>142</v>
      </c>
      <c r="C192" s="4">
        <v>10</v>
      </c>
      <c r="D192" s="4" t="s">
        <v>16</v>
      </c>
      <c r="E192" s="4"/>
    </row>
    <row r="193" spans="1:5" x14ac:dyDescent="0.25">
      <c r="A193" s="4">
        <f>MATCH(PlanData[[#This Row],[Mã thiết bị]],EquipmentInfo[Mã thiết bị],0)</f>
        <v>97</v>
      </c>
      <c r="B193" s="4" t="s">
        <v>143</v>
      </c>
      <c r="C193" s="4">
        <v>7</v>
      </c>
      <c r="D193" s="4" t="s">
        <v>16</v>
      </c>
      <c r="E193" s="4"/>
    </row>
    <row r="194" spans="1:5" x14ac:dyDescent="0.25">
      <c r="A194" s="4">
        <f>MATCH(PlanData[[#This Row],[Mã thiết bị]],EquipmentInfo[Mã thiết bị],0)</f>
        <v>97</v>
      </c>
      <c r="B194" s="4" t="s">
        <v>143</v>
      </c>
      <c r="C194" s="4">
        <v>1</v>
      </c>
      <c r="D194" s="4" t="s">
        <v>16</v>
      </c>
      <c r="E194" s="4"/>
    </row>
    <row r="195" spans="1:5" x14ac:dyDescent="0.25">
      <c r="A195" s="4">
        <f>MATCH(PlanData[[#This Row],[Mã thiết bị]],EquipmentInfo[Mã thiết bị],0)</f>
        <v>98</v>
      </c>
      <c r="B195" s="4" t="s">
        <v>144</v>
      </c>
      <c r="C195" s="4">
        <v>8</v>
      </c>
      <c r="D195" s="4" t="s">
        <v>28</v>
      </c>
      <c r="E195" s="4"/>
    </row>
    <row r="196" spans="1:5" x14ac:dyDescent="0.25">
      <c r="A196" s="4">
        <f>MATCH(PlanData[[#This Row],[Mã thiết bị]],EquipmentInfo[Mã thiết bị],0)</f>
        <v>98</v>
      </c>
      <c r="B196" s="4" t="s">
        <v>144</v>
      </c>
      <c r="C196" s="4">
        <v>2</v>
      </c>
      <c r="D196" s="4" t="s">
        <v>28</v>
      </c>
      <c r="E196" s="4"/>
    </row>
    <row r="197" spans="1:5" x14ac:dyDescent="0.25">
      <c r="A197" s="4">
        <f>MATCH(PlanData[[#This Row],[Mã thiết bị]],EquipmentInfo[Mã thiết bị],0)</f>
        <v>99</v>
      </c>
      <c r="B197" s="4" t="s">
        <v>145</v>
      </c>
      <c r="C197" s="4">
        <v>8</v>
      </c>
      <c r="D197" s="4" t="s">
        <v>28</v>
      </c>
      <c r="E197" s="4"/>
    </row>
    <row r="198" spans="1:5" x14ac:dyDescent="0.25">
      <c r="A198" s="4">
        <f>MATCH(PlanData[[#This Row],[Mã thiết bị]],EquipmentInfo[Mã thiết bị],0)</f>
        <v>99</v>
      </c>
      <c r="B198" s="4" t="s">
        <v>145</v>
      </c>
      <c r="C198" s="4">
        <v>2</v>
      </c>
      <c r="D198" s="4" t="s">
        <v>28</v>
      </c>
      <c r="E198" s="4"/>
    </row>
    <row r="199" spans="1:5" x14ac:dyDescent="0.25">
      <c r="A199" s="4">
        <f>MATCH(PlanData[[#This Row],[Mã thiết bị]],EquipmentInfo[Mã thiết bị],0)</f>
        <v>100</v>
      </c>
      <c r="B199" s="4" t="s">
        <v>146</v>
      </c>
      <c r="C199" s="4">
        <v>8</v>
      </c>
      <c r="D199" s="4" t="s">
        <v>15</v>
      </c>
      <c r="E199" s="4"/>
    </row>
    <row r="200" spans="1:5" x14ac:dyDescent="0.25">
      <c r="A200" s="4">
        <f>MATCH(PlanData[[#This Row],[Mã thiết bị]],EquipmentInfo[Mã thiết bị],0)</f>
        <v>101</v>
      </c>
      <c r="B200" s="4" t="s">
        <v>147</v>
      </c>
      <c r="C200" s="4">
        <v>8</v>
      </c>
      <c r="D200" s="4" t="s">
        <v>15</v>
      </c>
      <c r="E200" s="4"/>
    </row>
    <row r="201" spans="1:5" x14ac:dyDescent="0.25">
      <c r="A201" s="4">
        <f>MATCH(PlanData[[#This Row],[Mã thiết bị]],EquipmentInfo[Mã thiết bị],0)</f>
        <v>102</v>
      </c>
      <c r="B201" s="4" t="s">
        <v>151</v>
      </c>
      <c r="C201" s="4">
        <v>7</v>
      </c>
      <c r="D201" s="4" t="s">
        <v>15</v>
      </c>
      <c r="E201" s="4"/>
    </row>
    <row r="202" spans="1:5" x14ac:dyDescent="0.25">
      <c r="A202" s="4">
        <f>MATCH(PlanData[[#This Row],[Mã thiết bị]],EquipmentInfo[Mã thiết bị],0)</f>
        <v>103</v>
      </c>
      <c r="B202" s="4" t="s">
        <v>152</v>
      </c>
      <c r="C202" s="4">
        <v>7</v>
      </c>
      <c r="D202" s="4" t="s">
        <v>15</v>
      </c>
      <c r="E202" s="4"/>
    </row>
    <row r="203" spans="1:5" x14ac:dyDescent="0.25">
      <c r="A203" s="4">
        <f>MATCH(PlanData[[#This Row],[Mã thiết bị]],EquipmentInfo[Mã thiết bị],0)</f>
        <v>104</v>
      </c>
      <c r="B203" s="4" t="s">
        <v>153</v>
      </c>
      <c r="C203" s="4">
        <v>7</v>
      </c>
      <c r="D203" s="4" t="s">
        <v>15</v>
      </c>
      <c r="E203" s="4"/>
    </row>
    <row r="204" spans="1:5" x14ac:dyDescent="0.25">
      <c r="A204" s="4">
        <f>MATCH(PlanData[[#This Row],[Mã thiết bị]],EquipmentInfo[Mã thiết bị],0)</f>
        <v>104</v>
      </c>
      <c r="B204" s="4" t="s">
        <v>153</v>
      </c>
      <c r="C204" s="4">
        <v>7</v>
      </c>
      <c r="D204" s="4" t="s">
        <v>28</v>
      </c>
      <c r="E204" s="4"/>
    </row>
    <row r="205" spans="1:5" x14ac:dyDescent="0.25">
      <c r="A205" s="4">
        <f>MATCH(PlanData[[#This Row],[Mã thiết bị]],EquipmentInfo[Mã thiết bị],0)</f>
        <v>104</v>
      </c>
      <c r="B205" s="4" t="s">
        <v>153</v>
      </c>
      <c r="C205" s="4">
        <v>1</v>
      </c>
      <c r="D205" s="4" t="s">
        <v>16</v>
      </c>
      <c r="E205" s="4"/>
    </row>
    <row r="206" spans="1:5" x14ac:dyDescent="0.25">
      <c r="A206" s="4">
        <f>MATCH(PlanData[[#This Row],[Mã thiết bị]],EquipmentInfo[Mã thiết bị],0)</f>
        <v>105</v>
      </c>
      <c r="B206" s="4" t="s">
        <v>154</v>
      </c>
      <c r="C206" s="4">
        <v>7</v>
      </c>
      <c r="D206" s="4" t="s">
        <v>15</v>
      </c>
      <c r="E206" s="4"/>
    </row>
    <row r="207" spans="1:5" x14ac:dyDescent="0.25">
      <c r="A207" s="4">
        <f>MATCH(PlanData[[#This Row],[Mã thiết bị]],EquipmentInfo[Mã thiết bị],0)</f>
        <v>105</v>
      </c>
      <c r="B207" s="4" t="s">
        <v>154</v>
      </c>
      <c r="C207" s="4">
        <v>7</v>
      </c>
      <c r="D207" s="4" t="s">
        <v>28</v>
      </c>
      <c r="E207" s="4"/>
    </row>
    <row r="208" spans="1:5" x14ac:dyDescent="0.25">
      <c r="A208" s="4">
        <f>MATCH(PlanData[[#This Row],[Mã thiết bị]],EquipmentInfo[Mã thiết bị],0)</f>
        <v>105</v>
      </c>
      <c r="B208" s="4" t="s">
        <v>154</v>
      </c>
      <c r="C208" s="4">
        <v>1</v>
      </c>
      <c r="D208" s="4" t="s">
        <v>16</v>
      </c>
      <c r="E208" s="4"/>
    </row>
    <row r="209" spans="1:5" x14ac:dyDescent="0.25">
      <c r="A209" s="4">
        <f>MATCH(PlanData[[#This Row],[Mã thiết bị]],EquipmentInfo[Mã thiết bị],0)</f>
        <v>106</v>
      </c>
      <c r="B209" s="4" t="s">
        <v>155</v>
      </c>
      <c r="C209" s="4">
        <v>7</v>
      </c>
      <c r="D209" s="4" t="s">
        <v>15</v>
      </c>
      <c r="E209" s="4" t="s">
        <v>722</v>
      </c>
    </row>
    <row r="210" spans="1:5" x14ac:dyDescent="0.25">
      <c r="A210" s="4">
        <f>MATCH(PlanData[[#This Row],[Mã thiết bị]],EquipmentInfo[Mã thiết bị],0)</f>
        <v>106</v>
      </c>
      <c r="B210" s="4" t="s">
        <v>155</v>
      </c>
      <c r="C210" s="4">
        <v>10</v>
      </c>
      <c r="D210" s="4" t="s">
        <v>16</v>
      </c>
      <c r="E210" s="4"/>
    </row>
    <row r="211" spans="1:5" x14ac:dyDescent="0.25">
      <c r="A211" s="4">
        <f>MATCH(PlanData[[#This Row],[Mã thiết bị]],EquipmentInfo[Mã thiết bị],0)</f>
        <v>106</v>
      </c>
      <c r="B211" s="4" t="s">
        <v>155</v>
      </c>
      <c r="C211" s="4">
        <v>1</v>
      </c>
      <c r="D211" s="4" t="s">
        <v>16</v>
      </c>
      <c r="E211" s="4"/>
    </row>
    <row r="212" spans="1:5" x14ac:dyDescent="0.25">
      <c r="A212" s="4">
        <f>MATCH(PlanData[[#This Row],[Mã thiết bị]],EquipmentInfo[Mã thiết bị],0)</f>
        <v>106</v>
      </c>
      <c r="B212" s="4" t="s">
        <v>155</v>
      </c>
      <c r="C212" s="4">
        <v>4</v>
      </c>
      <c r="D212" s="4" t="s">
        <v>16</v>
      </c>
      <c r="E212" s="4"/>
    </row>
    <row r="213" spans="1:5" x14ac:dyDescent="0.25">
      <c r="A213" s="4">
        <f>MATCH(PlanData[[#This Row],[Mã thiết bị]],EquipmentInfo[Mã thiết bị],0)</f>
        <v>107</v>
      </c>
      <c r="B213" s="4" t="s">
        <v>156</v>
      </c>
      <c r="C213" s="4">
        <v>8</v>
      </c>
      <c r="D213" s="4" t="s">
        <v>15</v>
      </c>
      <c r="E213" s="4"/>
    </row>
    <row r="214" spans="1:5" x14ac:dyDescent="0.25">
      <c r="A214" s="4">
        <f>MATCH(PlanData[[#This Row],[Mã thiết bị]],EquipmentInfo[Mã thiết bị],0)</f>
        <v>108</v>
      </c>
      <c r="B214" s="4" t="s">
        <v>157</v>
      </c>
      <c r="C214" s="4">
        <v>8</v>
      </c>
      <c r="D214" s="4" t="s">
        <v>15</v>
      </c>
      <c r="E214" s="4"/>
    </row>
    <row r="215" spans="1:5" x14ac:dyDescent="0.25">
      <c r="A215" s="4">
        <f>MATCH(PlanData[[#This Row],[Mã thiết bị]],EquipmentInfo[Mã thiết bị],0)</f>
        <v>109</v>
      </c>
      <c r="B215" s="4" t="s">
        <v>158</v>
      </c>
      <c r="C215" s="4">
        <v>10</v>
      </c>
      <c r="D215" s="4" t="s">
        <v>16</v>
      </c>
      <c r="E215" s="4"/>
    </row>
    <row r="216" spans="1:5" x14ac:dyDescent="0.25">
      <c r="A216" s="4">
        <f>MATCH(PlanData[[#This Row],[Mã thiết bị]],EquipmentInfo[Mã thiết bị],0)</f>
        <v>109</v>
      </c>
      <c r="B216" s="4" t="s">
        <v>158</v>
      </c>
      <c r="C216" s="4">
        <v>1</v>
      </c>
      <c r="D216" s="4" t="s">
        <v>16</v>
      </c>
      <c r="E216" s="4"/>
    </row>
    <row r="217" spans="1:5" x14ac:dyDescent="0.25">
      <c r="A217" s="4">
        <f>MATCH(PlanData[[#This Row],[Mã thiết bị]],EquipmentInfo[Mã thiết bị],0)</f>
        <v>109</v>
      </c>
      <c r="B217" s="4" t="s">
        <v>158</v>
      </c>
      <c r="C217" s="4">
        <v>4</v>
      </c>
      <c r="D217" s="4" t="s">
        <v>16</v>
      </c>
      <c r="E217" s="4"/>
    </row>
    <row r="218" spans="1:5" x14ac:dyDescent="0.25">
      <c r="A218" s="4">
        <f>MATCH(PlanData[[#This Row],[Mã thiết bị]],EquipmentInfo[Mã thiết bị],0)</f>
        <v>109</v>
      </c>
      <c r="B218" s="4" t="s">
        <v>158</v>
      </c>
      <c r="C218" s="4">
        <v>7</v>
      </c>
      <c r="D218" s="4" t="s">
        <v>16</v>
      </c>
      <c r="E218" s="4"/>
    </row>
    <row r="219" spans="1:5" x14ac:dyDescent="0.25">
      <c r="A219" s="4">
        <f>MATCH(PlanData[[#This Row],[Mã thiết bị]],EquipmentInfo[Mã thiết bị],0)</f>
        <v>110</v>
      </c>
      <c r="B219" s="4" t="s">
        <v>159</v>
      </c>
      <c r="C219" s="4">
        <v>10</v>
      </c>
      <c r="D219" s="4" t="s">
        <v>16</v>
      </c>
      <c r="E219" s="4"/>
    </row>
    <row r="220" spans="1:5" x14ac:dyDescent="0.25">
      <c r="A220" s="4">
        <f>MATCH(PlanData[[#This Row],[Mã thiết bị]],EquipmentInfo[Mã thiết bị],0)</f>
        <v>110</v>
      </c>
      <c r="B220" s="4" t="s">
        <v>159</v>
      </c>
      <c r="C220" s="4">
        <v>1</v>
      </c>
      <c r="D220" s="4" t="s">
        <v>16</v>
      </c>
      <c r="E220" s="4"/>
    </row>
    <row r="221" spans="1:5" x14ac:dyDescent="0.25">
      <c r="A221" s="4">
        <f>MATCH(PlanData[[#This Row],[Mã thiết bị]],EquipmentInfo[Mã thiết bị],0)</f>
        <v>110</v>
      </c>
      <c r="B221" s="4" t="s">
        <v>159</v>
      </c>
      <c r="C221" s="4">
        <v>4</v>
      </c>
      <c r="D221" s="4" t="s">
        <v>16</v>
      </c>
      <c r="E221" s="4"/>
    </row>
    <row r="222" spans="1:5" x14ac:dyDescent="0.25">
      <c r="A222" s="4">
        <f>MATCH(PlanData[[#This Row],[Mã thiết bị]],EquipmentInfo[Mã thiết bị],0)</f>
        <v>110</v>
      </c>
      <c r="B222" s="4" t="s">
        <v>159</v>
      </c>
      <c r="C222" s="4">
        <v>7</v>
      </c>
      <c r="D222" s="4" t="s">
        <v>16</v>
      </c>
      <c r="E222" s="4"/>
    </row>
    <row r="223" spans="1:5" x14ac:dyDescent="0.25">
      <c r="A223" s="4">
        <f>MATCH(PlanData[[#This Row],[Mã thiết bị]],EquipmentInfo[Mã thiết bị],0)</f>
        <v>111</v>
      </c>
      <c r="B223" s="4" t="s">
        <v>160</v>
      </c>
      <c r="C223" s="4">
        <v>10</v>
      </c>
      <c r="D223" s="4" t="s">
        <v>16</v>
      </c>
      <c r="E223" s="4"/>
    </row>
    <row r="224" spans="1:5" x14ac:dyDescent="0.25">
      <c r="A224" s="4">
        <f>MATCH(PlanData[[#This Row],[Mã thiết bị]],EquipmentInfo[Mã thiết bị],0)</f>
        <v>111</v>
      </c>
      <c r="B224" s="4" t="s">
        <v>160</v>
      </c>
      <c r="C224" s="4">
        <v>1</v>
      </c>
      <c r="D224" s="4" t="s">
        <v>16</v>
      </c>
      <c r="E224" s="4"/>
    </row>
    <row r="225" spans="1:5" x14ac:dyDescent="0.25">
      <c r="A225" s="4">
        <f>MATCH(PlanData[[#This Row],[Mã thiết bị]],EquipmentInfo[Mã thiết bị],0)</f>
        <v>111</v>
      </c>
      <c r="B225" s="4" t="s">
        <v>160</v>
      </c>
      <c r="C225" s="4">
        <v>4</v>
      </c>
      <c r="D225" s="4" t="s">
        <v>16</v>
      </c>
      <c r="E225" s="4"/>
    </row>
    <row r="226" spans="1:5" x14ac:dyDescent="0.25">
      <c r="A226" s="4">
        <f>MATCH(PlanData[[#This Row],[Mã thiết bị]],EquipmentInfo[Mã thiết bị],0)</f>
        <v>111</v>
      </c>
      <c r="B226" s="4" t="s">
        <v>160</v>
      </c>
      <c r="C226" s="4">
        <v>7</v>
      </c>
      <c r="D226" s="4" t="s">
        <v>16</v>
      </c>
      <c r="E226" s="4"/>
    </row>
    <row r="227" spans="1:5" x14ac:dyDescent="0.25">
      <c r="A227" s="4">
        <f>MATCH(PlanData[[#This Row],[Mã thiết bị]],EquipmentInfo[Mã thiết bị],0)</f>
        <v>112</v>
      </c>
      <c r="B227" s="4" t="s">
        <v>161</v>
      </c>
      <c r="C227" s="4">
        <v>10</v>
      </c>
      <c r="D227" s="4" t="s">
        <v>16</v>
      </c>
      <c r="E227" s="4"/>
    </row>
    <row r="228" spans="1:5" x14ac:dyDescent="0.25">
      <c r="A228" s="4">
        <f>MATCH(PlanData[[#This Row],[Mã thiết bị]],EquipmentInfo[Mã thiết bị],0)</f>
        <v>112</v>
      </c>
      <c r="B228" s="4" t="s">
        <v>161</v>
      </c>
      <c r="C228" s="4">
        <v>1</v>
      </c>
      <c r="D228" s="4" t="s">
        <v>16</v>
      </c>
      <c r="E228" s="4"/>
    </row>
    <row r="229" spans="1:5" x14ac:dyDescent="0.25">
      <c r="A229" s="4">
        <f>MATCH(PlanData[[#This Row],[Mã thiết bị]],EquipmentInfo[Mã thiết bị],0)</f>
        <v>112</v>
      </c>
      <c r="B229" s="4" t="s">
        <v>161</v>
      </c>
      <c r="C229" s="4">
        <v>4</v>
      </c>
      <c r="D229" s="4" t="s">
        <v>16</v>
      </c>
      <c r="E229" s="4"/>
    </row>
    <row r="230" spans="1:5" x14ac:dyDescent="0.25">
      <c r="A230" s="4">
        <f>MATCH(PlanData[[#This Row],[Mã thiết bị]],EquipmentInfo[Mã thiết bị],0)</f>
        <v>112</v>
      </c>
      <c r="B230" s="4" t="s">
        <v>161</v>
      </c>
      <c r="C230" s="4">
        <v>7</v>
      </c>
      <c r="D230" s="4" t="s">
        <v>16</v>
      </c>
      <c r="E230" s="4"/>
    </row>
    <row r="231" spans="1:5" x14ac:dyDescent="0.25">
      <c r="A231" s="4">
        <f>MATCH(PlanData[[#This Row],[Mã thiết bị]],EquipmentInfo[Mã thiết bị],0)</f>
        <v>113</v>
      </c>
      <c r="B231" s="4" t="s">
        <v>162</v>
      </c>
      <c r="C231" s="4">
        <v>8</v>
      </c>
      <c r="D231" s="4" t="s">
        <v>28</v>
      </c>
      <c r="E231" s="4"/>
    </row>
    <row r="232" spans="1:5" x14ac:dyDescent="0.25">
      <c r="A232" s="4">
        <f>MATCH(PlanData[[#This Row],[Mã thiết bị]],EquipmentInfo[Mã thiết bị],0)</f>
        <v>113</v>
      </c>
      <c r="B232" s="4" t="s">
        <v>162</v>
      </c>
      <c r="C232" s="4">
        <v>11</v>
      </c>
      <c r="D232" s="4" t="s">
        <v>16</v>
      </c>
      <c r="E232" s="4"/>
    </row>
    <row r="233" spans="1:5" x14ac:dyDescent="0.25">
      <c r="A233" s="4">
        <f>MATCH(PlanData[[#This Row],[Mã thiết bị]],EquipmentInfo[Mã thiết bị],0)</f>
        <v>113</v>
      </c>
      <c r="B233" s="4" t="s">
        <v>162</v>
      </c>
      <c r="C233" s="4">
        <v>2</v>
      </c>
      <c r="D233" s="4" t="s">
        <v>16</v>
      </c>
      <c r="E233" s="4"/>
    </row>
    <row r="234" spans="1:5" x14ac:dyDescent="0.25">
      <c r="A234" s="4">
        <f>MATCH(PlanData[[#This Row],[Mã thiết bị]],EquipmentInfo[Mã thiết bị],0)</f>
        <v>113</v>
      </c>
      <c r="B234" s="4" t="s">
        <v>162</v>
      </c>
      <c r="C234" s="4">
        <v>5</v>
      </c>
      <c r="D234" s="4" t="s">
        <v>16</v>
      </c>
      <c r="E234" s="4"/>
    </row>
    <row r="235" spans="1:5" x14ac:dyDescent="0.25">
      <c r="A235" s="4">
        <f>MATCH(PlanData[[#This Row],[Mã thiết bị]],EquipmentInfo[Mã thiết bị],0)</f>
        <v>113</v>
      </c>
      <c r="B235" s="4" t="s">
        <v>162</v>
      </c>
      <c r="C235" s="4">
        <v>8</v>
      </c>
      <c r="D235" s="4" t="s">
        <v>16</v>
      </c>
      <c r="E235" s="4"/>
    </row>
    <row r="236" spans="1:5" x14ac:dyDescent="0.25">
      <c r="A236" s="4">
        <f>MATCH(PlanData[[#This Row],[Mã thiết bị]],EquipmentInfo[Mã thiết bị],0)</f>
        <v>114</v>
      </c>
      <c r="B236" s="4" t="s">
        <v>163</v>
      </c>
      <c r="C236" s="4">
        <v>8</v>
      </c>
      <c r="D236" s="4" t="s">
        <v>16</v>
      </c>
      <c r="E236" s="4"/>
    </row>
    <row r="237" spans="1:5" x14ac:dyDescent="0.25">
      <c r="A237" s="4">
        <f>MATCH(PlanData[[#This Row],[Mã thiết bị]],EquipmentInfo[Mã thiết bị],0)</f>
        <v>115</v>
      </c>
      <c r="B237" s="4" t="s">
        <v>164</v>
      </c>
      <c r="C237" s="4">
        <v>8</v>
      </c>
      <c r="D237" s="4" t="s">
        <v>16</v>
      </c>
      <c r="E237" s="4"/>
    </row>
    <row r="238" spans="1:5" x14ac:dyDescent="0.25">
      <c r="A238" s="4">
        <f>MATCH(PlanData[[#This Row],[Mã thiết bị]],EquipmentInfo[Mã thiết bị],0)</f>
        <v>116</v>
      </c>
      <c r="B238" s="4" t="s">
        <v>165</v>
      </c>
      <c r="C238" s="4">
        <v>8</v>
      </c>
      <c r="D238" s="4" t="s">
        <v>16</v>
      </c>
      <c r="E238" s="4"/>
    </row>
    <row r="239" spans="1:5" x14ac:dyDescent="0.25">
      <c r="A239" s="4">
        <f>MATCH(PlanData[[#This Row],[Mã thiết bị]],EquipmentInfo[Mã thiết bị],0)</f>
        <v>117</v>
      </c>
      <c r="B239" s="4" t="s">
        <v>166</v>
      </c>
      <c r="C239" s="4">
        <v>8</v>
      </c>
      <c r="D239" s="4" t="s">
        <v>16</v>
      </c>
      <c r="E239" s="4"/>
    </row>
    <row r="240" spans="1:5" x14ac:dyDescent="0.25">
      <c r="A240" s="4">
        <f>MATCH(PlanData[[#This Row],[Mã thiết bị]],EquipmentInfo[Mã thiết bị],0)</f>
        <v>118</v>
      </c>
      <c r="B240" s="4" t="s">
        <v>167</v>
      </c>
      <c r="C240" s="4">
        <v>10</v>
      </c>
      <c r="D240" s="4" t="s">
        <v>16</v>
      </c>
      <c r="E240" s="4"/>
    </row>
    <row r="241" spans="1:5" x14ac:dyDescent="0.25">
      <c r="A241" s="4">
        <f>MATCH(PlanData[[#This Row],[Mã thiết bị]],EquipmentInfo[Mã thiết bị],0)</f>
        <v>119</v>
      </c>
      <c r="B241" s="4" t="s">
        <v>168</v>
      </c>
      <c r="C241" s="4">
        <v>10</v>
      </c>
      <c r="D241" s="4" t="s">
        <v>16</v>
      </c>
      <c r="E241" s="4"/>
    </row>
    <row r="242" spans="1:5" x14ac:dyDescent="0.25">
      <c r="A242" s="4">
        <f>MATCH(PlanData[[#This Row],[Mã thiết bị]],EquipmentInfo[Mã thiết bị],0)</f>
        <v>122</v>
      </c>
      <c r="B242" s="4" t="s">
        <v>169</v>
      </c>
      <c r="C242" s="4">
        <v>12</v>
      </c>
      <c r="D242" s="4" t="s">
        <v>16</v>
      </c>
      <c r="E242" s="4"/>
    </row>
    <row r="243" spans="1:5" x14ac:dyDescent="0.25">
      <c r="A243" s="4">
        <f>MATCH(PlanData[[#This Row],[Mã thiết bị]],EquipmentInfo[Mã thiết bị],0)</f>
        <v>123</v>
      </c>
      <c r="B243" s="4" t="s">
        <v>170</v>
      </c>
      <c r="C243" s="4">
        <v>8</v>
      </c>
      <c r="D243" s="4" t="s">
        <v>15</v>
      </c>
      <c r="E243" s="4"/>
    </row>
    <row r="244" spans="1:5" x14ac:dyDescent="0.25">
      <c r="A244" s="4">
        <f>MATCH(PlanData[[#This Row],[Mã thiết bị]],EquipmentInfo[Mã thiết bị],0)</f>
        <v>124</v>
      </c>
      <c r="B244" s="4" t="s">
        <v>171</v>
      </c>
      <c r="C244" s="4">
        <v>8</v>
      </c>
      <c r="D244" s="4" t="s">
        <v>15</v>
      </c>
      <c r="E244" s="4"/>
    </row>
    <row r="245" spans="1:5" x14ac:dyDescent="0.25">
      <c r="A245" s="4">
        <f>MATCH(PlanData[[#This Row],[Mã thiết bị]],EquipmentInfo[Mã thiết bị],0)</f>
        <v>125</v>
      </c>
      <c r="B245" s="4" t="s">
        <v>172</v>
      </c>
      <c r="C245" s="4">
        <v>8</v>
      </c>
      <c r="D245" s="4" t="s">
        <v>15</v>
      </c>
      <c r="E245" s="4"/>
    </row>
    <row r="246" spans="1:5" x14ac:dyDescent="0.25">
      <c r="A246" s="4">
        <f>MATCH(PlanData[[#This Row],[Mã thiết bị]],EquipmentInfo[Mã thiết bị],0)</f>
        <v>126</v>
      </c>
      <c r="B246" s="4" t="s">
        <v>173</v>
      </c>
      <c r="C246" s="4">
        <v>8</v>
      </c>
      <c r="D246" s="4" t="s">
        <v>15</v>
      </c>
      <c r="E246" s="4"/>
    </row>
    <row r="247" spans="1:5" x14ac:dyDescent="0.25">
      <c r="A247" s="4">
        <f>MATCH(PlanData[[#This Row],[Mã thiết bị]],EquipmentInfo[Mã thiết bị],0)</f>
        <v>127</v>
      </c>
      <c r="B247" s="4" t="s">
        <v>174</v>
      </c>
      <c r="C247" s="4">
        <v>8</v>
      </c>
      <c r="D247" s="4" t="s">
        <v>15</v>
      </c>
      <c r="E247" s="4"/>
    </row>
    <row r="248" spans="1:5" x14ac:dyDescent="0.25">
      <c r="A248" s="4">
        <f>MATCH(PlanData[[#This Row],[Mã thiết bị]],EquipmentInfo[Mã thiết bị],0)</f>
        <v>128</v>
      </c>
      <c r="B248" s="4" t="s">
        <v>175</v>
      </c>
      <c r="C248" s="4">
        <v>8</v>
      </c>
      <c r="D248" s="4" t="s">
        <v>15</v>
      </c>
      <c r="E248" s="4"/>
    </row>
    <row r="249" spans="1:5" x14ac:dyDescent="0.25">
      <c r="A249" s="4">
        <f>MATCH(PlanData[[#This Row],[Mã thiết bị]],EquipmentInfo[Mã thiết bị],0)</f>
        <v>129</v>
      </c>
      <c r="B249" s="4" t="s">
        <v>176</v>
      </c>
      <c r="C249" s="4">
        <v>8</v>
      </c>
      <c r="D249" s="4" t="s">
        <v>15</v>
      </c>
      <c r="E249" s="4"/>
    </row>
    <row r="250" spans="1:5" x14ac:dyDescent="0.25">
      <c r="A250" s="4">
        <f>MATCH(PlanData[[#This Row],[Mã thiết bị]],EquipmentInfo[Mã thiết bị],0)</f>
        <v>130</v>
      </c>
      <c r="B250" s="4" t="s">
        <v>177</v>
      </c>
      <c r="C250" s="4">
        <v>8</v>
      </c>
      <c r="D250" s="4" t="s">
        <v>15</v>
      </c>
      <c r="E250" s="4"/>
    </row>
    <row r="251" spans="1:5" x14ac:dyDescent="0.25">
      <c r="A251" s="4">
        <f>MATCH(PlanData[[#This Row],[Mã thiết bị]],EquipmentInfo[Mã thiết bị],0)</f>
        <v>131</v>
      </c>
      <c r="B251" s="4" t="s">
        <v>178</v>
      </c>
      <c r="C251" s="4">
        <v>8</v>
      </c>
      <c r="D251" s="4" t="s">
        <v>15</v>
      </c>
      <c r="E251" s="4"/>
    </row>
    <row r="252" spans="1:5" x14ac:dyDescent="0.25">
      <c r="A252" s="4">
        <f>MATCH(PlanData[[#This Row],[Mã thiết bị]],EquipmentInfo[Mã thiết bị],0)</f>
        <v>132</v>
      </c>
      <c r="B252" s="4" t="s">
        <v>179</v>
      </c>
      <c r="C252" s="4">
        <v>8</v>
      </c>
      <c r="D252" s="4" t="s">
        <v>15</v>
      </c>
      <c r="E252" s="4"/>
    </row>
    <row r="253" spans="1:5" x14ac:dyDescent="0.25">
      <c r="A253" s="4">
        <f>MATCH(PlanData[[#This Row],[Mã thiết bị]],EquipmentInfo[Mã thiết bị],0)</f>
        <v>133</v>
      </c>
      <c r="B253" s="4" t="s">
        <v>180</v>
      </c>
      <c r="C253" s="4">
        <v>8</v>
      </c>
      <c r="D253" s="4" t="s">
        <v>15</v>
      </c>
      <c r="E253" s="4"/>
    </row>
    <row r="254" spans="1:5" x14ac:dyDescent="0.25">
      <c r="A254" s="4">
        <f>MATCH(PlanData[[#This Row],[Mã thiết bị]],EquipmentInfo[Mã thiết bị],0)</f>
        <v>134</v>
      </c>
      <c r="B254" s="4" t="s">
        <v>181</v>
      </c>
      <c r="C254" s="4">
        <v>8</v>
      </c>
      <c r="D254" s="4" t="s">
        <v>15</v>
      </c>
      <c r="E254" s="4"/>
    </row>
    <row r="255" spans="1:5" x14ac:dyDescent="0.25">
      <c r="A255" s="4">
        <f>MATCH(PlanData[[#This Row],[Mã thiết bị]],EquipmentInfo[Mã thiết bị],0)</f>
        <v>135</v>
      </c>
      <c r="B255" s="4" t="s">
        <v>182</v>
      </c>
      <c r="C255" s="4">
        <v>8</v>
      </c>
      <c r="D255" s="4" t="s">
        <v>15</v>
      </c>
      <c r="E255" s="4"/>
    </row>
    <row r="256" spans="1:5" x14ac:dyDescent="0.25">
      <c r="A256" s="4">
        <f>MATCH(PlanData[[#This Row],[Mã thiết bị]],EquipmentInfo[Mã thiết bị],0)</f>
        <v>136</v>
      </c>
      <c r="B256" s="4" t="s">
        <v>183</v>
      </c>
      <c r="C256" s="4">
        <v>8</v>
      </c>
      <c r="D256" s="4" t="s">
        <v>15</v>
      </c>
      <c r="E256" s="4"/>
    </row>
    <row r="257" spans="1:5" x14ac:dyDescent="0.25">
      <c r="A257" s="4">
        <f>MATCH(PlanData[[#This Row],[Mã thiết bị]],EquipmentInfo[Mã thiết bị],0)</f>
        <v>137</v>
      </c>
      <c r="B257" s="4" t="s">
        <v>184</v>
      </c>
      <c r="C257" s="4">
        <v>8</v>
      </c>
      <c r="D257" s="4" t="s">
        <v>15</v>
      </c>
      <c r="E257" s="4"/>
    </row>
    <row r="258" spans="1:5" x14ac:dyDescent="0.25">
      <c r="A258" s="4">
        <f>MATCH(PlanData[[#This Row],[Mã thiết bị]],EquipmentInfo[Mã thiết bị],0)</f>
        <v>138</v>
      </c>
      <c r="B258" s="4" t="s">
        <v>185</v>
      </c>
      <c r="C258" s="4">
        <v>8</v>
      </c>
      <c r="D258" s="4" t="s">
        <v>15</v>
      </c>
      <c r="E258" s="4"/>
    </row>
    <row r="259" spans="1:5" x14ac:dyDescent="0.25">
      <c r="A259" s="4">
        <f>MATCH(PlanData[[#This Row],[Mã thiết bị]],EquipmentInfo[Mã thiết bị],0)</f>
        <v>139</v>
      </c>
      <c r="B259" s="4" t="s">
        <v>186</v>
      </c>
      <c r="C259" s="4">
        <v>1</v>
      </c>
      <c r="D259" s="4" t="s">
        <v>15</v>
      </c>
      <c r="E259" s="4"/>
    </row>
    <row r="260" spans="1:5" x14ac:dyDescent="0.25">
      <c r="A260" s="4">
        <f>MATCH(PlanData[[#This Row],[Mã thiết bị]],EquipmentInfo[Mã thiết bị],0)</f>
        <v>140</v>
      </c>
      <c r="B260" s="4" t="s">
        <v>187</v>
      </c>
      <c r="C260" s="4">
        <v>1</v>
      </c>
      <c r="D260" s="4" t="s">
        <v>15</v>
      </c>
      <c r="E260" s="4"/>
    </row>
    <row r="261" spans="1:5" x14ac:dyDescent="0.25">
      <c r="A261" s="4">
        <f>MATCH(PlanData[[#This Row],[Mã thiết bị]],EquipmentInfo[Mã thiết bị],0)</f>
        <v>141</v>
      </c>
      <c r="B261" s="4" t="s">
        <v>188</v>
      </c>
      <c r="C261" s="4">
        <v>1</v>
      </c>
      <c r="D261" s="4" t="s">
        <v>15</v>
      </c>
      <c r="E261" s="4"/>
    </row>
    <row r="262" spans="1:5" x14ac:dyDescent="0.25">
      <c r="A262" s="4">
        <f>MATCH(PlanData[[#This Row],[Mã thiết bị]],EquipmentInfo[Mã thiết bị],0)</f>
        <v>142</v>
      </c>
      <c r="B262" s="4" t="s">
        <v>189</v>
      </c>
      <c r="C262" s="4">
        <v>1</v>
      </c>
      <c r="D262" s="4" t="s">
        <v>15</v>
      </c>
      <c r="E262" s="4"/>
    </row>
    <row r="263" spans="1:5" x14ac:dyDescent="0.25">
      <c r="A263" s="4">
        <f>MATCH(PlanData[[#This Row],[Mã thiết bị]],EquipmentInfo[Mã thiết bị],0)</f>
        <v>143</v>
      </c>
      <c r="B263" s="4" t="s">
        <v>190</v>
      </c>
      <c r="C263" s="4">
        <v>1</v>
      </c>
      <c r="D263" s="4" t="s">
        <v>15</v>
      </c>
      <c r="E263" s="4"/>
    </row>
    <row r="264" spans="1:5" x14ac:dyDescent="0.25">
      <c r="A264" s="4">
        <f>MATCH(PlanData[[#This Row],[Mã thiết bị]],EquipmentInfo[Mã thiết bị],0)</f>
        <v>144</v>
      </c>
      <c r="B264" s="4" t="s">
        <v>191</v>
      </c>
      <c r="C264" s="4">
        <v>1</v>
      </c>
      <c r="D264" s="4" t="s">
        <v>15</v>
      </c>
      <c r="E264" s="4"/>
    </row>
    <row r="265" spans="1:5" x14ac:dyDescent="0.25">
      <c r="A265" s="4">
        <f>MATCH(PlanData[[#This Row],[Mã thiết bị]],EquipmentInfo[Mã thiết bị],0)</f>
        <v>145</v>
      </c>
      <c r="B265" s="4" t="s">
        <v>192</v>
      </c>
      <c r="C265" s="4">
        <v>1</v>
      </c>
      <c r="D265" s="4" t="s">
        <v>15</v>
      </c>
      <c r="E265" s="4"/>
    </row>
    <row r="266" spans="1:5" x14ac:dyDescent="0.25">
      <c r="A266" s="4">
        <f>MATCH(PlanData[[#This Row],[Mã thiết bị]],EquipmentInfo[Mã thiết bị],0)</f>
        <v>146</v>
      </c>
      <c r="B266" s="4" t="s">
        <v>193</v>
      </c>
      <c r="C266" s="4">
        <v>1</v>
      </c>
      <c r="D266" s="4" t="s">
        <v>15</v>
      </c>
      <c r="E266" s="4"/>
    </row>
    <row r="267" spans="1:5" x14ac:dyDescent="0.25">
      <c r="A267" s="4">
        <f>MATCH(PlanData[[#This Row],[Mã thiết bị]],EquipmentInfo[Mã thiết bị],0)</f>
        <v>147</v>
      </c>
      <c r="B267" s="4" t="s">
        <v>194</v>
      </c>
      <c r="C267" s="4">
        <v>1</v>
      </c>
      <c r="D267" s="4" t="s">
        <v>15</v>
      </c>
      <c r="E267" s="4"/>
    </row>
    <row r="268" spans="1:5" x14ac:dyDescent="0.25">
      <c r="A268" s="4">
        <f>MATCH(PlanData[[#This Row],[Mã thiết bị]],EquipmentInfo[Mã thiết bị],0)</f>
        <v>148</v>
      </c>
      <c r="B268" s="4" t="s">
        <v>195</v>
      </c>
      <c r="C268" s="4">
        <v>1</v>
      </c>
      <c r="D268" s="4" t="s">
        <v>15</v>
      </c>
      <c r="E268" s="4"/>
    </row>
    <row r="269" spans="1:5" x14ac:dyDescent="0.25">
      <c r="A269" s="4">
        <f>MATCH(PlanData[[#This Row],[Mã thiết bị]],EquipmentInfo[Mã thiết bị],0)</f>
        <v>149</v>
      </c>
      <c r="B269" s="4" t="s">
        <v>196</v>
      </c>
      <c r="C269" s="4">
        <v>1</v>
      </c>
      <c r="D269" s="4" t="s">
        <v>15</v>
      </c>
      <c r="E269" s="4"/>
    </row>
    <row r="270" spans="1:5" x14ac:dyDescent="0.25">
      <c r="A270" s="4">
        <f>MATCH(PlanData[[#This Row],[Mã thiết bị]],EquipmentInfo[Mã thiết bị],0)</f>
        <v>150</v>
      </c>
      <c r="B270" s="4" t="s">
        <v>197</v>
      </c>
      <c r="C270" s="4">
        <v>1</v>
      </c>
      <c r="D270" s="4" t="s">
        <v>15</v>
      </c>
      <c r="E270" s="4"/>
    </row>
    <row r="271" spans="1:5" x14ac:dyDescent="0.25">
      <c r="A271" s="4">
        <f>MATCH(PlanData[[#This Row],[Mã thiết bị]],EquipmentInfo[Mã thiết bị],0)</f>
        <v>151</v>
      </c>
      <c r="B271" s="4" t="s">
        <v>198</v>
      </c>
      <c r="C271" s="4">
        <v>1</v>
      </c>
      <c r="D271" s="4" t="s">
        <v>15</v>
      </c>
      <c r="E271" s="4"/>
    </row>
    <row r="272" spans="1:5" x14ac:dyDescent="0.25">
      <c r="A272" s="4">
        <f>MATCH(PlanData[[#This Row],[Mã thiết bị]],EquipmentInfo[Mã thiết bị],0)</f>
        <v>152</v>
      </c>
      <c r="B272" s="4" t="s">
        <v>199</v>
      </c>
      <c r="C272" s="4">
        <v>1</v>
      </c>
      <c r="D272" s="4" t="s">
        <v>15</v>
      </c>
      <c r="E272" s="4"/>
    </row>
    <row r="273" spans="1:5" x14ac:dyDescent="0.25">
      <c r="A273" s="4">
        <f>MATCH(PlanData[[#This Row],[Mã thiết bị]],EquipmentInfo[Mã thiết bị],0)</f>
        <v>153</v>
      </c>
      <c r="B273" s="4" t="s">
        <v>200</v>
      </c>
      <c r="C273" s="4">
        <v>7</v>
      </c>
      <c r="D273" s="4" t="s">
        <v>16</v>
      </c>
      <c r="E273" s="4"/>
    </row>
    <row r="274" spans="1:5" x14ac:dyDescent="0.25">
      <c r="A274" s="4">
        <f>MATCH(PlanData[[#This Row],[Mã thiết bị]],EquipmentInfo[Mã thiết bị],0)</f>
        <v>153</v>
      </c>
      <c r="B274" s="4" t="s">
        <v>200</v>
      </c>
      <c r="C274" s="4">
        <v>10</v>
      </c>
      <c r="D274" s="4" t="s">
        <v>16</v>
      </c>
      <c r="E274" s="4"/>
    </row>
    <row r="275" spans="1:5" x14ac:dyDescent="0.25">
      <c r="A275" s="4">
        <f>MATCH(PlanData[[#This Row],[Mã thiết bị]],EquipmentInfo[Mã thiết bị],0)</f>
        <v>153</v>
      </c>
      <c r="B275" s="4" t="s">
        <v>200</v>
      </c>
      <c r="C275" s="4">
        <v>1</v>
      </c>
      <c r="D275" s="4" t="s">
        <v>16</v>
      </c>
      <c r="E275" s="4"/>
    </row>
    <row r="276" spans="1:5" x14ac:dyDescent="0.25">
      <c r="A276" s="4">
        <f>MATCH(PlanData[[#This Row],[Mã thiết bị]],EquipmentInfo[Mã thiết bị],0)</f>
        <v>153</v>
      </c>
      <c r="B276" s="4" t="s">
        <v>200</v>
      </c>
      <c r="C276" s="4">
        <v>4</v>
      </c>
      <c r="D276" s="4" t="s">
        <v>16</v>
      </c>
      <c r="E276" s="4"/>
    </row>
    <row r="277" spans="1:5" x14ac:dyDescent="0.25">
      <c r="A277" s="4">
        <f>MATCH(PlanData[[#This Row],[Mã thiết bị]],EquipmentInfo[Mã thiết bị],0)</f>
        <v>154</v>
      </c>
      <c r="B277" s="4" t="s">
        <v>267</v>
      </c>
      <c r="C277" s="4">
        <v>4</v>
      </c>
      <c r="D277" s="4" t="s">
        <v>15</v>
      </c>
      <c r="E277" s="4"/>
    </row>
    <row r="278" spans="1:5" x14ac:dyDescent="0.25">
      <c r="A278" s="4">
        <f>MATCH(PlanData[[#This Row],[Mã thiết bị]],EquipmentInfo[Mã thiết bị],0)</f>
        <v>155</v>
      </c>
      <c r="B278" s="4" t="s">
        <v>268</v>
      </c>
      <c r="C278" s="4">
        <v>4</v>
      </c>
      <c r="D278" s="4" t="s">
        <v>15</v>
      </c>
      <c r="E278" s="4"/>
    </row>
    <row r="279" spans="1:5" x14ac:dyDescent="0.25">
      <c r="A279" s="4">
        <f>MATCH(PlanData[[#This Row],[Mã thiết bị]],EquipmentInfo[Mã thiết bị],0)</f>
        <v>156</v>
      </c>
      <c r="B279" s="4" t="s">
        <v>269</v>
      </c>
      <c r="C279" s="4">
        <v>4</v>
      </c>
      <c r="D279" s="4" t="s">
        <v>15</v>
      </c>
      <c r="E279" s="4"/>
    </row>
    <row r="280" spans="1:5" x14ac:dyDescent="0.25">
      <c r="A280" s="4">
        <f>MATCH(PlanData[[#This Row],[Mã thiết bị]],EquipmentInfo[Mã thiết bị],0)</f>
        <v>157</v>
      </c>
      <c r="B280" s="4" t="s">
        <v>270</v>
      </c>
      <c r="C280" s="4">
        <v>4</v>
      </c>
      <c r="D280" s="4" t="s">
        <v>27</v>
      </c>
      <c r="E280" s="4"/>
    </row>
    <row r="281" spans="1:5" x14ac:dyDescent="0.25">
      <c r="A281" s="4">
        <f>MATCH(PlanData[[#This Row],[Mã thiết bị]],EquipmentInfo[Mã thiết bị],0)</f>
        <v>158</v>
      </c>
      <c r="B281" s="4" t="s">
        <v>271</v>
      </c>
      <c r="C281" s="4">
        <v>4</v>
      </c>
      <c r="D281" s="4" t="s">
        <v>27</v>
      </c>
      <c r="E281" s="4"/>
    </row>
    <row r="282" spans="1:5" x14ac:dyDescent="0.25">
      <c r="A282" s="4">
        <f>MATCH(PlanData[[#This Row],[Mã thiết bị]],EquipmentInfo[Mã thiết bị],0)</f>
        <v>159</v>
      </c>
      <c r="B282" s="4" t="s">
        <v>272</v>
      </c>
      <c r="C282" s="4">
        <v>4</v>
      </c>
      <c r="D282" s="4" t="s">
        <v>27</v>
      </c>
      <c r="E282" s="4"/>
    </row>
    <row r="283" spans="1:5" x14ac:dyDescent="0.25">
      <c r="A283" s="4">
        <f>MATCH(PlanData[[#This Row],[Mã thiết bị]],EquipmentInfo[Mã thiết bị],0)</f>
        <v>161</v>
      </c>
      <c r="B283" s="4" t="s">
        <v>201</v>
      </c>
      <c r="C283" s="4">
        <v>1</v>
      </c>
      <c r="D283" s="4" t="s">
        <v>15</v>
      </c>
      <c r="E283" s="4"/>
    </row>
    <row r="284" spans="1:5" x14ac:dyDescent="0.25">
      <c r="A284" s="4">
        <f>MATCH(PlanData[[#This Row],[Mã thiết bị]],EquipmentInfo[Mã thiết bị],0)</f>
        <v>162</v>
      </c>
      <c r="B284" s="4" t="s">
        <v>202</v>
      </c>
      <c r="C284" s="4">
        <v>1</v>
      </c>
      <c r="D284" s="4" t="s">
        <v>15</v>
      </c>
      <c r="E284" s="4"/>
    </row>
    <row r="285" spans="1:5" x14ac:dyDescent="0.25">
      <c r="A285" s="4">
        <f>MATCH(PlanData[[#This Row],[Mã thiết bị]],EquipmentInfo[Mã thiết bị],0)</f>
        <v>163</v>
      </c>
      <c r="B285" s="4" t="s">
        <v>203</v>
      </c>
      <c r="C285" s="4">
        <v>1</v>
      </c>
      <c r="D285" s="4" t="s">
        <v>15</v>
      </c>
      <c r="E285" s="4"/>
    </row>
    <row r="286" spans="1:5" x14ac:dyDescent="0.25">
      <c r="A286" s="4">
        <f>MATCH(PlanData[[#This Row],[Mã thiết bị]],EquipmentInfo[Mã thiết bị],0)</f>
        <v>164</v>
      </c>
      <c r="B286" s="4" t="s">
        <v>204</v>
      </c>
      <c r="C286" s="4">
        <v>1</v>
      </c>
      <c r="D286" s="4" t="s">
        <v>15</v>
      </c>
      <c r="E286" s="4"/>
    </row>
    <row r="287" spans="1:5" x14ac:dyDescent="0.25">
      <c r="A287" s="4">
        <f>MATCH(PlanData[[#This Row],[Mã thiết bị]],EquipmentInfo[Mã thiết bị],0)</f>
        <v>165</v>
      </c>
      <c r="B287" s="4" t="s">
        <v>205</v>
      </c>
      <c r="C287" s="4">
        <v>1</v>
      </c>
      <c r="D287" s="4" t="s">
        <v>15</v>
      </c>
      <c r="E287" s="4"/>
    </row>
    <row r="288" spans="1:5" x14ac:dyDescent="0.25">
      <c r="A288" s="4">
        <f>MATCH(PlanData[[#This Row],[Mã thiết bị]],EquipmentInfo[Mã thiết bị],0)</f>
        <v>166</v>
      </c>
      <c r="B288" s="4" t="s">
        <v>206</v>
      </c>
      <c r="C288" s="4">
        <v>1</v>
      </c>
      <c r="D288" s="4" t="s">
        <v>15</v>
      </c>
      <c r="E288" s="4"/>
    </row>
    <row r="289" spans="1:5" x14ac:dyDescent="0.25">
      <c r="A289" s="4">
        <f>MATCH(PlanData[[#This Row],[Mã thiết bị]],EquipmentInfo[Mã thiết bị],0)</f>
        <v>167</v>
      </c>
      <c r="B289" s="4" t="s">
        <v>207</v>
      </c>
      <c r="C289" s="4">
        <v>1</v>
      </c>
      <c r="D289" s="4" t="s">
        <v>15</v>
      </c>
      <c r="E289" s="4"/>
    </row>
    <row r="290" spans="1:5" x14ac:dyDescent="0.25">
      <c r="A290" s="4">
        <f>MATCH(PlanData[[#This Row],[Mã thiết bị]],EquipmentInfo[Mã thiết bị],0)</f>
        <v>168</v>
      </c>
      <c r="B290" s="4" t="s">
        <v>208</v>
      </c>
      <c r="C290" s="4">
        <v>1</v>
      </c>
      <c r="D290" s="4" t="s">
        <v>15</v>
      </c>
      <c r="E290" s="4"/>
    </row>
    <row r="291" spans="1:5" x14ac:dyDescent="0.25">
      <c r="A291" s="4">
        <f>MATCH(PlanData[[#This Row],[Mã thiết bị]],EquipmentInfo[Mã thiết bị],0)</f>
        <v>169</v>
      </c>
      <c r="B291" s="4" t="s">
        <v>209</v>
      </c>
      <c r="C291" s="4">
        <v>1</v>
      </c>
      <c r="D291" s="4" t="s">
        <v>15</v>
      </c>
      <c r="E291" s="4"/>
    </row>
    <row r="292" spans="1:5" x14ac:dyDescent="0.25">
      <c r="A292" s="4">
        <f>MATCH(PlanData[[#This Row],[Mã thiết bị]],EquipmentInfo[Mã thiết bị],0)</f>
        <v>170</v>
      </c>
      <c r="B292" s="4" t="s">
        <v>210</v>
      </c>
      <c r="C292" s="4">
        <v>1</v>
      </c>
      <c r="D292" s="4" t="s">
        <v>15</v>
      </c>
      <c r="E292" s="4"/>
    </row>
    <row r="293" spans="1:5" x14ac:dyDescent="0.25">
      <c r="A293" s="4">
        <f>MATCH(PlanData[[#This Row],[Mã thiết bị]],EquipmentInfo[Mã thiết bị],0)</f>
        <v>171</v>
      </c>
      <c r="B293" s="4" t="s">
        <v>211</v>
      </c>
      <c r="C293" s="4">
        <v>1</v>
      </c>
      <c r="D293" s="4" t="s">
        <v>15</v>
      </c>
      <c r="E293" s="4"/>
    </row>
    <row r="294" spans="1:5" x14ac:dyDescent="0.25">
      <c r="A294" s="4">
        <f>MATCH(PlanData[[#This Row],[Mã thiết bị]],EquipmentInfo[Mã thiết bị],0)</f>
        <v>173</v>
      </c>
      <c r="B294" s="4" t="s">
        <v>212</v>
      </c>
      <c r="C294" s="4">
        <v>1</v>
      </c>
      <c r="D294" s="4" t="s">
        <v>15</v>
      </c>
      <c r="E294" s="4"/>
    </row>
    <row r="295" spans="1:5" x14ac:dyDescent="0.25">
      <c r="A295" s="4">
        <f>MATCH(PlanData[[#This Row],[Mã thiết bị]],EquipmentInfo[Mã thiết bị],0)</f>
        <v>174</v>
      </c>
      <c r="B295" s="4" t="s">
        <v>213</v>
      </c>
      <c r="C295" s="4">
        <v>1</v>
      </c>
      <c r="D295" s="4" t="s">
        <v>15</v>
      </c>
      <c r="E295" s="4"/>
    </row>
    <row r="296" spans="1:5" x14ac:dyDescent="0.25">
      <c r="A296" s="4">
        <f>MATCH(PlanData[[#This Row],[Mã thiết bị]],EquipmentInfo[Mã thiết bị],0)</f>
        <v>175</v>
      </c>
      <c r="B296" s="4" t="s">
        <v>214</v>
      </c>
      <c r="C296" s="4">
        <v>1</v>
      </c>
      <c r="D296" s="4" t="s">
        <v>15</v>
      </c>
      <c r="E296" s="4"/>
    </row>
    <row r="297" spans="1:5" x14ac:dyDescent="0.25">
      <c r="A297" s="4">
        <f>MATCH(PlanData[[#This Row],[Mã thiết bị]],EquipmentInfo[Mã thiết bị],0)</f>
        <v>176</v>
      </c>
      <c r="B297" s="4" t="s">
        <v>215</v>
      </c>
      <c r="C297" s="4">
        <v>1</v>
      </c>
      <c r="D297" s="4" t="s">
        <v>15</v>
      </c>
      <c r="E297" s="4"/>
    </row>
    <row r="298" spans="1:5" x14ac:dyDescent="0.25">
      <c r="A298" s="4">
        <f>MATCH(PlanData[[#This Row],[Mã thiết bị]],EquipmentInfo[Mã thiết bị],0)</f>
        <v>177</v>
      </c>
      <c r="B298" s="4" t="s">
        <v>216</v>
      </c>
      <c r="C298" s="4">
        <v>1</v>
      </c>
      <c r="D298" s="4" t="s">
        <v>15</v>
      </c>
      <c r="E298" s="4"/>
    </row>
    <row r="299" spans="1:5" x14ac:dyDescent="0.25">
      <c r="A299" s="4">
        <f>MATCH(PlanData[[#This Row],[Mã thiết bị]],EquipmentInfo[Mã thiết bị],0)</f>
        <v>178</v>
      </c>
      <c r="B299" s="4" t="s">
        <v>217</v>
      </c>
      <c r="C299" s="4">
        <v>1</v>
      </c>
      <c r="D299" s="4" t="s">
        <v>15</v>
      </c>
      <c r="E299" s="4"/>
    </row>
    <row r="300" spans="1:5" x14ac:dyDescent="0.25">
      <c r="A300" s="4">
        <f>MATCH(PlanData[[#This Row],[Mã thiết bị]],EquipmentInfo[Mã thiết bị],0)</f>
        <v>179</v>
      </c>
      <c r="B300" s="4" t="s">
        <v>218</v>
      </c>
      <c r="C300" s="4">
        <v>1</v>
      </c>
      <c r="D300" s="4" t="s">
        <v>15</v>
      </c>
      <c r="E300" s="4"/>
    </row>
    <row r="301" spans="1:5" x14ac:dyDescent="0.25">
      <c r="A301" s="4">
        <f>MATCH(PlanData[[#This Row],[Mã thiết bị]],EquipmentInfo[Mã thiết bị],0)</f>
        <v>180</v>
      </c>
      <c r="B301" s="4" t="s">
        <v>219</v>
      </c>
      <c r="C301" s="4">
        <v>1</v>
      </c>
      <c r="D301" s="4" t="s">
        <v>15</v>
      </c>
      <c r="E301" s="4"/>
    </row>
    <row r="302" spans="1:5" x14ac:dyDescent="0.25">
      <c r="A302" s="4">
        <f>MATCH(PlanData[[#This Row],[Mã thiết bị]],EquipmentInfo[Mã thiết bị],0)</f>
        <v>181</v>
      </c>
      <c r="B302" s="4" t="s">
        <v>220</v>
      </c>
      <c r="C302" s="4">
        <v>1</v>
      </c>
      <c r="D302" s="4" t="s">
        <v>15</v>
      </c>
      <c r="E302" s="4"/>
    </row>
    <row r="303" spans="1:5" x14ac:dyDescent="0.25">
      <c r="A303" s="4">
        <f>MATCH(PlanData[[#This Row],[Mã thiết bị]],EquipmentInfo[Mã thiết bị],0)</f>
        <v>182</v>
      </c>
      <c r="B303" s="4" t="s">
        <v>221</v>
      </c>
      <c r="C303" s="4">
        <v>1</v>
      </c>
      <c r="D303" s="4" t="s">
        <v>15</v>
      </c>
      <c r="E303" s="4"/>
    </row>
    <row r="304" spans="1:5" x14ac:dyDescent="0.25">
      <c r="A304" s="4">
        <f>MATCH(PlanData[[#This Row],[Mã thiết bị]],EquipmentInfo[Mã thiết bị],0)</f>
        <v>183</v>
      </c>
      <c r="B304" s="4" t="s">
        <v>222</v>
      </c>
      <c r="C304" s="4">
        <v>1</v>
      </c>
      <c r="D304" s="4" t="s">
        <v>15</v>
      </c>
      <c r="E304" s="4"/>
    </row>
    <row r="305" spans="1:5" x14ac:dyDescent="0.25">
      <c r="A305" s="4">
        <f>MATCH(PlanData[[#This Row],[Mã thiết bị]],EquipmentInfo[Mã thiết bị],0)</f>
        <v>184</v>
      </c>
      <c r="B305" s="4" t="s">
        <v>223</v>
      </c>
      <c r="C305" s="4">
        <v>1</v>
      </c>
      <c r="D305" s="4" t="s">
        <v>15</v>
      </c>
      <c r="E305" s="4"/>
    </row>
    <row r="306" spans="1:5" x14ac:dyDescent="0.25">
      <c r="A306" s="4">
        <f>MATCH(PlanData[[#This Row],[Mã thiết bị]],EquipmentInfo[Mã thiết bị],0)</f>
        <v>185</v>
      </c>
      <c r="B306" s="4" t="s">
        <v>224</v>
      </c>
      <c r="C306" s="4">
        <v>1</v>
      </c>
      <c r="D306" s="4" t="s">
        <v>15</v>
      </c>
      <c r="E306" s="4"/>
    </row>
    <row r="307" spans="1:5" x14ac:dyDescent="0.25">
      <c r="A307" s="4">
        <f>MATCH(PlanData[[#This Row],[Mã thiết bị]],EquipmentInfo[Mã thiết bị],0)</f>
        <v>186</v>
      </c>
      <c r="B307" s="4" t="s">
        <v>225</v>
      </c>
      <c r="C307" s="4">
        <v>1</v>
      </c>
      <c r="D307" s="4" t="s">
        <v>15</v>
      </c>
      <c r="E307" s="4"/>
    </row>
    <row r="308" spans="1:5" x14ac:dyDescent="0.25">
      <c r="A308" s="4">
        <f>MATCH(PlanData[[#This Row],[Mã thiết bị]],EquipmentInfo[Mã thiết bị],0)</f>
        <v>187</v>
      </c>
      <c r="B308" s="4" t="s">
        <v>226</v>
      </c>
      <c r="C308" s="4">
        <v>1</v>
      </c>
      <c r="D308" s="4" t="s">
        <v>15</v>
      </c>
      <c r="E308" s="4"/>
    </row>
    <row r="309" spans="1:5" x14ac:dyDescent="0.25">
      <c r="A309" s="4">
        <f>MATCH(PlanData[[#This Row],[Mã thiết bị]],EquipmentInfo[Mã thiết bị],0)</f>
        <v>188</v>
      </c>
      <c r="B309" s="4" t="s">
        <v>227</v>
      </c>
      <c r="C309" s="4">
        <v>1</v>
      </c>
      <c r="D309" s="4" t="s">
        <v>15</v>
      </c>
      <c r="E309" s="4"/>
    </row>
    <row r="310" spans="1:5" x14ac:dyDescent="0.25">
      <c r="A310" s="4">
        <f>MATCH(PlanData[[#This Row],[Mã thiết bị]],EquipmentInfo[Mã thiết bị],0)</f>
        <v>189</v>
      </c>
      <c r="B310" s="4" t="s">
        <v>228</v>
      </c>
      <c r="C310" s="4">
        <v>1</v>
      </c>
      <c r="D310" s="4" t="s">
        <v>15</v>
      </c>
      <c r="E310" s="4"/>
    </row>
    <row r="311" spans="1:5" x14ac:dyDescent="0.25">
      <c r="A311" s="4">
        <f>MATCH(PlanData[[#This Row],[Mã thiết bị]],EquipmentInfo[Mã thiết bị],0)</f>
        <v>190</v>
      </c>
      <c r="B311" s="4" t="s">
        <v>229</v>
      </c>
      <c r="C311" s="4">
        <v>1</v>
      </c>
      <c r="D311" s="4" t="s">
        <v>15</v>
      </c>
      <c r="E311" s="4"/>
    </row>
    <row r="312" spans="1:5" x14ac:dyDescent="0.25">
      <c r="A312" s="4">
        <f>MATCH(PlanData[[#This Row],[Mã thiết bị]],EquipmentInfo[Mã thiết bị],0)</f>
        <v>191</v>
      </c>
      <c r="B312" s="4" t="s">
        <v>230</v>
      </c>
      <c r="C312" s="4">
        <v>1</v>
      </c>
      <c r="D312" s="4" t="s">
        <v>15</v>
      </c>
      <c r="E312" s="4"/>
    </row>
    <row r="313" spans="1:5" x14ac:dyDescent="0.25">
      <c r="A313" s="4">
        <f>MATCH(PlanData[[#This Row],[Mã thiết bị]],EquipmentInfo[Mã thiết bị],0)</f>
        <v>192</v>
      </c>
      <c r="B313" s="4" t="s">
        <v>231</v>
      </c>
      <c r="C313" s="4">
        <v>1</v>
      </c>
      <c r="D313" s="4" t="s">
        <v>15</v>
      </c>
      <c r="E313" s="4"/>
    </row>
    <row r="314" spans="1:5" x14ac:dyDescent="0.25">
      <c r="A314" s="4">
        <f>MATCH(PlanData[[#This Row],[Mã thiết bị]],EquipmentInfo[Mã thiết bị],0)</f>
        <v>193</v>
      </c>
      <c r="B314" s="4" t="s">
        <v>232</v>
      </c>
      <c r="C314" s="4">
        <v>1</v>
      </c>
      <c r="D314" s="4" t="s">
        <v>15</v>
      </c>
      <c r="E314" s="4"/>
    </row>
    <row r="315" spans="1:5" x14ac:dyDescent="0.25">
      <c r="A315" s="4">
        <f>MATCH(PlanData[[#This Row],[Mã thiết bị]],EquipmentInfo[Mã thiết bị],0)</f>
        <v>194</v>
      </c>
      <c r="B315" s="4" t="s">
        <v>233</v>
      </c>
      <c r="C315" s="4">
        <v>1</v>
      </c>
      <c r="D315" s="4" t="s">
        <v>15</v>
      </c>
      <c r="E315" s="4"/>
    </row>
    <row r="316" spans="1:5" x14ac:dyDescent="0.25">
      <c r="A316" s="4">
        <f>MATCH(PlanData[[#This Row],[Mã thiết bị]],EquipmentInfo[Mã thiết bị],0)</f>
        <v>195</v>
      </c>
      <c r="B316" s="4" t="s">
        <v>234</v>
      </c>
      <c r="C316" s="4">
        <v>1</v>
      </c>
      <c r="D316" s="4" t="s">
        <v>15</v>
      </c>
      <c r="E316" s="4"/>
    </row>
    <row r="317" spans="1:5" x14ac:dyDescent="0.25">
      <c r="A317" s="4">
        <f>MATCH(PlanData[[#This Row],[Mã thiết bị]],EquipmentInfo[Mã thiết bị],0)</f>
        <v>196</v>
      </c>
      <c r="B317" s="4" t="s">
        <v>235</v>
      </c>
      <c r="C317" s="4">
        <v>1</v>
      </c>
      <c r="D317" s="4" t="s">
        <v>15</v>
      </c>
      <c r="E317" s="4"/>
    </row>
    <row r="318" spans="1:5" x14ac:dyDescent="0.25">
      <c r="A318" s="4">
        <f>MATCH(PlanData[[#This Row],[Mã thiết bị]],EquipmentInfo[Mã thiết bị],0)</f>
        <v>197</v>
      </c>
      <c r="B318" s="4" t="s">
        <v>236</v>
      </c>
      <c r="C318" s="4">
        <v>1</v>
      </c>
      <c r="D318" s="4" t="s">
        <v>15</v>
      </c>
      <c r="E318" s="4"/>
    </row>
    <row r="319" spans="1:5" x14ac:dyDescent="0.25">
      <c r="A319" s="4">
        <f>MATCH(PlanData[[#This Row],[Mã thiết bị]],EquipmentInfo[Mã thiết bị],0)</f>
        <v>198</v>
      </c>
      <c r="B319" s="4" t="s">
        <v>237</v>
      </c>
      <c r="C319" s="4">
        <v>1</v>
      </c>
      <c r="D319" s="4" t="s">
        <v>15</v>
      </c>
      <c r="E319" s="4"/>
    </row>
    <row r="320" spans="1:5" x14ac:dyDescent="0.25">
      <c r="A320" s="4">
        <f>MATCH(PlanData[[#This Row],[Mã thiết bị]],EquipmentInfo[Mã thiết bị],0)</f>
        <v>199</v>
      </c>
      <c r="B320" s="4" t="s">
        <v>238</v>
      </c>
      <c r="C320" s="4">
        <v>1</v>
      </c>
      <c r="D320" s="4" t="s">
        <v>15</v>
      </c>
      <c r="E320" s="4"/>
    </row>
    <row r="321" spans="1:5" x14ac:dyDescent="0.25">
      <c r="A321" s="4">
        <f>MATCH(PlanData[[#This Row],[Mã thiết bị]],EquipmentInfo[Mã thiết bị],0)</f>
        <v>200</v>
      </c>
      <c r="B321" s="4" t="s">
        <v>239</v>
      </c>
      <c r="C321" s="4">
        <v>5</v>
      </c>
      <c r="D321" s="4" t="s">
        <v>15</v>
      </c>
      <c r="E321" s="4"/>
    </row>
    <row r="322" spans="1:5" x14ac:dyDescent="0.25">
      <c r="A322" s="4">
        <f>MATCH(PlanData[[#This Row],[Mã thiết bị]],EquipmentInfo[Mã thiết bị],0)</f>
        <v>201</v>
      </c>
      <c r="B322" s="4" t="s">
        <v>240</v>
      </c>
      <c r="C322" s="4">
        <v>5</v>
      </c>
      <c r="D322" s="4" t="s">
        <v>15</v>
      </c>
      <c r="E322" s="4"/>
    </row>
    <row r="323" spans="1:5" x14ac:dyDescent="0.25">
      <c r="A323" s="4">
        <f>MATCH(PlanData[[#This Row],[Mã thiết bị]],EquipmentInfo[Mã thiết bị],0)</f>
        <v>202</v>
      </c>
      <c r="B323" s="4" t="s">
        <v>241</v>
      </c>
      <c r="C323" s="4">
        <v>5</v>
      </c>
      <c r="D323" s="4" t="s">
        <v>15</v>
      </c>
      <c r="E323" s="4"/>
    </row>
    <row r="324" spans="1:5" x14ac:dyDescent="0.25">
      <c r="A324" s="4">
        <f>MATCH(PlanData[[#This Row],[Mã thiết bị]],EquipmentInfo[Mã thiết bị],0)</f>
        <v>203</v>
      </c>
      <c r="B324" s="4" t="s">
        <v>242</v>
      </c>
      <c r="C324" s="4">
        <v>5</v>
      </c>
      <c r="D324" s="4" t="s">
        <v>15</v>
      </c>
      <c r="E324" s="4"/>
    </row>
    <row r="325" spans="1:5" x14ac:dyDescent="0.25">
      <c r="A325" s="4">
        <f>MATCH(PlanData[[#This Row],[Mã thiết bị]],EquipmentInfo[Mã thiết bị],0)</f>
        <v>204</v>
      </c>
      <c r="B325" s="4" t="s">
        <v>243</v>
      </c>
      <c r="C325" s="4">
        <v>5</v>
      </c>
      <c r="D325" s="4" t="s">
        <v>15</v>
      </c>
      <c r="E325" s="4"/>
    </row>
    <row r="326" spans="1:5" x14ac:dyDescent="0.25">
      <c r="A326" s="4">
        <f>MATCH(PlanData[[#This Row],[Mã thiết bị]],EquipmentInfo[Mã thiết bị],0)</f>
        <v>205</v>
      </c>
      <c r="B326" s="4" t="s">
        <v>244</v>
      </c>
      <c r="C326" s="4">
        <v>5</v>
      </c>
      <c r="D326" s="4" t="s">
        <v>15</v>
      </c>
      <c r="E326" s="4"/>
    </row>
    <row r="327" spans="1:5" x14ac:dyDescent="0.25">
      <c r="A327" s="4">
        <f>MATCH(PlanData[[#This Row],[Mã thiết bị]],EquipmentInfo[Mã thiết bị],0)</f>
        <v>206</v>
      </c>
      <c r="B327" s="4" t="s">
        <v>245</v>
      </c>
      <c r="C327" s="4">
        <v>5</v>
      </c>
      <c r="D327" s="4" t="s">
        <v>15</v>
      </c>
      <c r="E327" s="4"/>
    </row>
    <row r="328" spans="1:5" x14ac:dyDescent="0.25">
      <c r="A328" s="4">
        <f>MATCH(PlanData[[#This Row],[Mã thiết bị]],EquipmentInfo[Mã thiết bị],0)</f>
        <v>207</v>
      </c>
      <c r="B328" s="4" t="s">
        <v>246</v>
      </c>
      <c r="C328" s="4">
        <v>5</v>
      </c>
      <c r="D328" s="4" t="s">
        <v>15</v>
      </c>
      <c r="E328" s="4"/>
    </row>
    <row r="329" spans="1:5" x14ac:dyDescent="0.25">
      <c r="A329" s="4">
        <f>MATCH(PlanData[[#This Row],[Mã thiết bị]],EquipmentInfo[Mã thiết bị],0)</f>
        <v>208</v>
      </c>
      <c r="B329" s="4" t="s">
        <v>247</v>
      </c>
      <c r="C329" s="4">
        <v>5</v>
      </c>
      <c r="D329" s="4" t="s">
        <v>15</v>
      </c>
      <c r="E329" s="4"/>
    </row>
    <row r="330" spans="1:5" x14ac:dyDescent="0.25">
      <c r="A330" s="4">
        <f>MATCH(PlanData[[#This Row],[Mã thiết bị]],EquipmentInfo[Mã thiết bị],0)</f>
        <v>209</v>
      </c>
      <c r="B330" s="4" t="s">
        <v>248</v>
      </c>
      <c r="C330" s="4">
        <v>5</v>
      </c>
      <c r="D330" s="4" t="s">
        <v>15</v>
      </c>
      <c r="E330" s="4"/>
    </row>
    <row r="331" spans="1:5" x14ac:dyDescent="0.25">
      <c r="A331" s="4">
        <f>MATCH(PlanData[[#This Row],[Mã thiết bị]],EquipmentInfo[Mã thiết bị],0)</f>
        <v>210</v>
      </c>
      <c r="B331" s="4" t="s">
        <v>249</v>
      </c>
      <c r="C331" s="4">
        <v>5</v>
      </c>
      <c r="D331" s="4" t="s">
        <v>15</v>
      </c>
      <c r="E331" s="4"/>
    </row>
    <row r="332" spans="1:5" x14ac:dyDescent="0.25">
      <c r="A332" s="4">
        <f>MATCH(PlanData[[#This Row],[Mã thiết bị]],EquipmentInfo[Mã thiết bị],0)</f>
        <v>211</v>
      </c>
      <c r="B332" s="4" t="s">
        <v>250</v>
      </c>
      <c r="C332" s="4">
        <v>5</v>
      </c>
      <c r="D332" s="4" t="s">
        <v>15</v>
      </c>
      <c r="E332" s="4"/>
    </row>
    <row r="333" spans="1:5" x14ac:dyDescent="0.25">
      <c r="A333" s="4">
        <f>MATCH(PlanData[[#This Row],[Mã thiết bị]],EquipmentInfo[Mã thiết bị],0)</f>
        <v>212</v>
      </c>
      <c r="B333" s="4" t="s">
        <v>251</v>
      </c>
      <c r="C333" s="4">
        <v>5</v>
      </c>
      <c r="D333" s="4" t="s">
        <v>15</v>
      </c>
      <c r="E333" s="4"/>
    </row>
    <row r="334" spans="1:5" x14ac:dyDescent="0.25">
      <c r="A334" s="4">
        <f>MATCH(PlanData[[#This Row],[Mã thiết bị]],EquipmentInfo[Mã thiết bị],0)</f>
        <v>213</v>
      </c>
      <c r="B334" s="4" t="s">
        <v>252</v>
      </c>
      <c r="C334" s="4">
        <v>5</v>
      </c>
      <c r="D334" s="4" t="s">
        <v>15</v>
      </c>
      <c r="E334" s="4"/>
    </row>
    <row r="335" spans="1:5" x14ac:dyDescent="0.25">
      <c r="A335" s="4">
        <f>MATCH(PlanData[[#This Row],[Mã thiết bị]],EquipmentInfo[Mã thiết bị],0)</f>
        <v>214</v>
      </c>
      <c r="B335" s="4" t="s">
        <v>253</v>
      </c>
      <c r="C335" s="4">
        <v>5</v>
      </c>
      <c r="D335" s="4" t="s">
        <v>15</v>
      </c>
      <c r="E335" s="4"/>
    </row>
    <row r="336" spans="1:5" x14ac:dyDescent="0.25">
      <c r="A336" s="4">
        <f>MATCH(PlanData[[#This Row],[Mã thiết bị]],EquipmentInfo[Mã thiết bị],0)</f>
        <v>215</v>
      </c>
      <c r="B336" s="4" t="s">
        <v>254</v>
      </c>
      <c r="C336" s="4">
        <v>5</v>
      </c>
      <c r="D336" s="4" t="s">
        <v>15</v>
      </c>
      <c r="E336" s="4"/>
    </row>
    <row r="337" spans="1:5" x14ac:dyDescent="0.25">
      <c r="A337" s="4">
        <f>MATCH(PlanData[[#This Row],[Mã thiết bị]],EquipmentInfo[Mã thiết bị],0)</f>
        <v>216</v>
      </c>
      <c r="B337" s="4" t="s">
        <v>255</v>
      </c>
      <c r="C337" s="4">
        <v>5</v>
      </c>
      <c r="D337" s="4" t="s">
        <v>15</v>
      </c>
      <c r="E337" s="4"/>
    </row>
    <row r="338" spans="1:5" x14ac:dyDescent="0.25">
      <c r="A338" s="4">
        <f>MATCH(PlanData[[#This Row],[Mã thiết bị]],EquipmentInfo[Mã thiết bị],0)</f>
        <v>217</v>
      </c>
      <c r="B338" s="4" t="s">
        <v>256</v>
      </c>
      <c r="C338" s="4">
        <v>5</v>
      </c>
      <c r="D338" s="4" t="s">
        <v>15</v>
      </c>
      <c r="E338" s="4"/>
    </row>
    <row r="339" spans="1:5" x14ac:dyDescent="0.25">
      <c r="A339" s="4">
        <f>MATCH(PlanData[[#This Row],[Mã thiết bị]],EquipmentInfo[Mã thiết bị],0)</f>
        <v>218</v>
      </c>
      <c r="B339" s="4" t="s">
        <v>257</v>
      </c>
      <c r="C339" s="4">
        <v>5</v>
      </c>
      <c r="D339" s="4" t="s">
        <v>15</v>
      </c>
      <c r="E339" s="4"/>
    </row>
    <row r="340" spans="1:5" x14ac:dyDescent="0.25">
      <c r="A340" s="4">
        <f>MATCH(PlanData[[#This Row],[Mã thiết bị]],EquipmentInfo[Mã thiết bị],0)</f>
        <v>219</v>
      </c>
      <c r="B340" s="4" t="s">
        <v>258</v>
      </c>
      <c r="C340" s="4">
        <v>5</v>
      </c>
      <c r="D340" s="4" t="s">
        <v>15</v>
      </c>
      <c r="E340" s="4"/>
    </row>
    <row r="341" spans="1:5" x14ac:dyDescent="0.25">
      <c r="A341" s="4">
        <f>MATCH(PlanData[[#This Row],[Mã thiết bị]],EquipmentInfo[Mã thiết bị],0)</f>
        <v>220</v>
      </c>
      <c r="B341" s="4" t="s">
        <v>259</v>
      </c>
      <c r="C341" s="4">
        <v>5</v>
      </c>
      <c r="D341" s="4" t="s">
        <v>15</v>
      </c>
      <c r="E341" s="4"/>
    </row>
    <row r="342" spans="1:5" x14ac:dyDescent="0.25">
      <c r="A342" s="4">
        <f>MATCH(PlanData[[#This Row],[Mã thiết bị]],EquipmentInfo[Mã thiết bị],0)</f>
        <v>221</v>
      </c>
      <c r="B342" s="4" t="s">
        <v>260</v>
      </c>
      <c r="C342" s="4">
        <v>5</v>
      </c>
      <c r="D342" s="4" t="s">
        <v>15</v>
      </c>
      <c r="E342" s="4"/>
    </row>
    <row r="343" spans="1:5" x14ac:dyDescent="0.25">
      <c r="A343" s="4">
        <f>MATCH(PlanData[[#This Row],[Mã thiết bị]],EquipmentInfo[Mã thiết bị],0)</f>
        <v>222</v>
      </c>
      <c r="B343" s="4" t="s">
        <v>261</v>
      </c>
      <c r="C343" s="4">
        <v>5</v>
      </c>
      <c r="D343" s="4" t="s">
        <v>15</v>
      </c>
      <c r="E343" s="4"/>
    </row>
    <row r="344" spans="1:5" x14ac:dyDescent="0.25">
      <c r="A344" s="4">
        <f>MATCH(PlanData[[#This Row],[Mã thiết bị]],EquipmentInfo[Mã thiết bị],0)</f>
        <v>223</v>
      </c>
      <c r="B344" s="4" t="s">
        <v>262</v>
      </c>
      <c r="C344" s="4">
        <v>5</v>
      </c>
      <c r="D344" s="4" t="s">
        <v>15</v>
      </c>
      <c r="E344" s="4"/>
    </row>
    <row r="345" spans="1:5" x14ac:dyDescent="0.25">
      <c r="A345" s="4">
        <f>MATCH(PlanData[[#This Row],[Mã thiết bị]],EquipmentInfo[Mã thiết bị],0)</f>
        <v>224</v>
      </c>
      <c r="B345" s="4" t="s">
        <v>263</v>
      </c>
      <c r="C345" s="4">
        <v>5</v>
      </c>
      <c r="D345" s="4" t="s">
        <v>15</v>
      </c>
      <c r="E345" s="4"/>
    </row>
    <row r="346" spans="1:5" x14ac:dyDescent="0.25">
      <c r="A346" s="4">
        <f>MATCH(PlanData[[#This Row],[Mã thiết bị]],EquipmentInfo[Mã thiết bị],0)</f>
        <v>225</v>
      </c>
      <c r="B346" s="4" t="s">
        <v>264</v>
      </c>
      <c r="C346" s="4">
        <v>5</v>
      </c>
      <c r="D346" s="4" t="s">
        <v>15</v>
      </c>
      <c r="E346" s="4"/>
    </row>
    <row r="347" spans="1:5" x14ac:dyDescent="0.25">
      <c r="A347" s="4">
        <f>MATCH(PlanData[[#This Row],[Mã thiết bị]],EquipmentInfo[Mã thiết bị],0)</f>
        <v>226</v>
      </c>
      <c r="B347" s="4" t="s">
        <v>265</v>
      </c>
      <c r="C347" s="4">
        <v>5</v>
      </c>
      <c r="D347" s="4" t="s">
        <v>15</v>
      </c>
      <c r="E347" s="4"/>
    </row>
    <row r="348" spans="1:5" x14ac:dyDescent="0.25">
      <c r="A348" s="4">
        <f>MATCH(PlanData[[#This Row],[Mã thiết bị]],EquipmentInfo[Mã thiết bị],0)</f>
        <v>227</v>
      </c>
      <c r="B348" s="4" t="s">
        <v>266</v>
      </c>
      <c r="C348" s="4">
        <v>5</v>
      </c>
      <c r="D348" s="4" t="s">
        <v>15</v>
      </c>
      <c r="E348" s="4"/>
    </row>
    <row r="349" spans="1:5" x14ac:dyDescent="0.25">
      <c r="A349" s="4">
        <f>MATCH(PlanData[[#This Row],[Mã thiết bị]],EquipmentInfo[Mã thiết bị],0)</f>
        <v>228</v>
      </c>
      <c r="B349" s="4" t="s">
        <v>273</v>
      </c>
      <c r="C349" s="4">
        <v>7</v>
      </c>
      <c r="D349" s="4" t="s">
        <v>15</v>
      </c>
      <c r="E349" s="4"/>
    </row>
    <row r="350" spans="1:5" x14ac:dyDescent="0.25">
      <c r="A350" s="4">
        <f>MATCH(PlanData[[#This Row],[Mã thiết bị]],EquipmentInfo[Mã thiết bị],0)</f>
        <v>228</v>
      </c>
      <c r="B350" s="4" t="s">
        <v>273</v>
      </c>
      <c r="C350" s="4">
        <v>10</v>
      </c>
      <c r="D350" s="4" t="s">
        <v>16</v>
      </c>
      <c r="E350" s="4"/>
    </row>
    <row r="351" spans="1:5" x14ac:dyDescent="0.25">
      <c r="A351" s="4">
        <f>MATCH(PlanData[[#This Row],[Mã thiết bị]],EquipmentInfo[Mã thiết bị],0)</f>
        <v>228</v>
      </c>
      <c r="B351" s="4" t="s">
        <v>273</v>
      </c>
      <c r="C351" s="4">
        <v>1</v>
      </c>
      <c r="D351" s="4" t="s">
        <v>16</v>
      </c>
      <c r="E351" s="4"/>
    </row>
    <row r="352" spans="1:5" x14ac:dyDescent="0.25">
      <c r="A352" s="4">
        <f>MATCH(PlanData[[#This Row],[Mã thiết bị]],EquipmentInfo[Mã thiết bị],0)</f>
        <v>228</v>
      </c>
      <c r="B352" s="4" t="s">
        <v>273</v>
      </c>
      <c r="C352" s="4">
        <v>4</v>
      </c>
      <c r="D352" s="4" t="s">
        <v>16</v>
      </c>
      <c r="E352" s="4"/>
    </row>
    <row r="353" spans="1:5" x14ac:dyDescent="0.25">
      <c r="A353" s="4">
        <f>MATCH(PlanData[[#This Row],[Mã thiết bị]],EquipmentInfo[Mã thiết bị],0)</f>
        <v>228</v>
      </c>
      <c r="B353" s="4" t="s">
        <v>273</v>
      </c>
      <c r="C353" s="4">
        <v>3</v>
      </c>
      <c r="D353" s="4" t="s">
        <v>17</v>
      </c>
      <c r="E353" s="4"/>
    </row>
    <row r="354" spans="1:5" x14ac:dyDescent="0.25">
      <c r="A354" s="4">
        <f>MATCH(PlanData[[#This Row],[Mã thiết bị]],EquipmentInfo[Mã thiết bị],0)</f>
        <v>229</v>
      </c>
      <c r="B354" s="4" t="s">
        <v>274</v>
      </c>
      <c r="C354" s="4">
        <v>7</v>
      </c>
      <c r="D354" s="4" t="s">
        <v>15</v>
      </c>
      <c r="E354" s="4"/>
    </row>
    <row r="355" spans="1:5" x14ac:dyDescent="0.25">
      <c r="A355" s="4">
        <f>MATCH(PlanData[[#This Row],[Mã thiết bị]],EquipmentInfo[Mã thiết bị],0)</f>
        <v>229</v>
      </c>
      <c r="B355" s="4" t="s">
        <v>274</v>
      </c>
      <c r="C355" s="4">
        <v>10</v>
      </c>
      <c r="D355" s="4" t="s">
        <v>16</v>
      </c>
      <c r="E355" s="4"/>
    </row>
    <row r="356" spans="1:5" x14ac:dyDescent="0.25">
      <c r="A356" s="4">
        <f>MATCH(PlanData[[#This Row],[Mã thiết bị]],EquipmentInfo[Mã thiết bị],0)</f>
        <v>229</v>
      </c>
      <c r="B356" s="4" t="s">
        <v>274</v>
      </c>
      <c r="C356" s="4">
        <v>1</v>
      </c>
      <c r="D356" s="4" t="s">
        <v>16</v>
      </c>
      <c r="E356" s="4"/>
    </row>
    <row r="357" spans="1:5" x14ac:dyDescent="0.25">
      <c r="A357" s="4">
        <f>MATCH(PlanData[[#This Row],[Mã thiết bị]],EquipmentInfo[Mã thiết bị],0)</f>
        <v>229</v>
      </c>
      <c r="B357" s="4" t="s">
        <v>274</v>
      </c>
      <c r="C357" s="4">
        <v>4</v>
      </c>
      <c r="D357" s="4" t="s">
        <v>16</v>
      </c>
      <c r="E357" s="4"/>
    </row>
    <row r="358" spans="1:5" x14ac:dyDescent="0.25">
      <c r="A358" s="4">
        <f>MATCH(PlanData[[#This Row],[Mã thiết bị]],EquipmentInfo[Mã thiết bị],0)</f>
        <v>229</v>
      </c>
      <c r="B358" s="4" t="s">
        <v>274</v>
      </c>
      <c r="C358" s="4">
        <v>3</v>
      </c>
      <c r="D358" s="4" t="s">
        <v>17</v>
      </c>
      <c r="E358" s="4"/>
    </row>
    <row r="359" spans="1:5" x14ac:dyDescent="0.25">
      <c r="A359" s="4">
        <f>MATCH(PlanData[[#This Row],[Mã thiết bị]],EquipmentInfo[Mã thiết bị],0)</f>
        <v>230</v>
      </c>
      <c r="B359" s="4" t="s">
        <v>275</v>
      </c>
      <c r="C359" s="4">
        <v>5</v>
      </c>
      <c r="D359" s="4" t="s">
        <v>15</v>
      </c>
      <c r="E359" s="4"/>
    </row>
    <row r="360" spans="1:5" x14ac:dyDescent="0.25">
      <c r="A360" s="4">
        <f>MATCH(PlanData[[#This Row],[Mã thiết bị]],EquipmentInfo[Mã thiết bị],0)</f>
        <v>230</v>
      </c>
      <c r="B360" s="4" t="s">
        <v>275</v>
      </c>
      <c r="C360" s="4">
        <v>5</v>
      </c>
      <c r="D360" s="4" t="s">
        <v>16</v>
      </c>
      <c r="E360" s="4"/>
    </row>
    <row r="361" spans="1:5" x14ac:dyDescent="0.25">
      <c r="A361" s="4">
        <f>MATCH(PlanData[[#This Row],[Mã thiết bị]],EquipmentInfo[Mã thiết bị],0)</f>
        <v>230</v>
      </c>
      <c r="B361" s="4" t="s">
        <v>275</v>
      </c>
      <c r="C361" s="4">
        <v>11</v>
      </c>
      <c r="D361" s="4" t="s">
        <v>16</v>
      </c>
      <c r="E361" s="4"/>
    </row>
    <row r="362" spans="1:5" x14ac:dyDescent="0.25">
      <c r="A362" s="4">
        <f>MATCH(PlanData[[#This Row],[Mã thiết bị]],EquipmentInfo[Mã thiết bị],0)</f>
        <v>231</v>
      </c>
      <c r="B362" s="4" t="s">
        <v>276</v>
      </c>
      <c r="C362" s="4">
        <v>9</v>
      </c>
      <c r="D362" s="4" t="s">
        <v>16</v>
      </c>
      <c r="E362" s="4"/>
    </row>
    <row r="363" spans="1:5" x14ac:dyDescent="0.25">
      <c r="A363" s="4">
        <f>MATCH(PlanData[[#This Row],[Mã thiết bị]],EquipmentInfo[Mã thiết bị],0)</f>
        <v>232</v>
      </c>
      <c r="B363" s="4" t="s">
        <v>277</v>
      </c>
      <c r="C363" s="4">
        <v>9</v>
      </c>
      <c r="D363" s="4" t="s">
        <v>15</v>
      </c>
      <c r="E363" s="4"/>
    </row>
    <row r="364" spans="1:5" x14ac:dyDescent="0.25">
      <c r="A364" s="4">
        <f>MATCH(PlanData[[#This Row],[Mã thiết bị]],EquipmentInfo[Mã thiết bị],0)</f>
        <v>233</v>
      </c>
      <c r="B364" s="4" t="s">
        <v>278</v>
      </c>
      <c r="C364" s="4">
        <v>7</v>
      </c>
      <c r="D364" s="4" t="s">
        <v>15</v>
      </c>
      <c r="E364" s="4"/>
    </row>
    <row r="365" spans="1:5" x14ac:dyDescent="0.25">
      <c r="A365" s="4">
        <f>MATCH(PlanData[[#This Row],[Mã thiết bị]],EquipmentInfo[Mã thiết bị],0)</f>
        <v>234</v>
      </c>
      <c r="B365" s="4" t="s">
        <v>279</v>
      </c>
      <c r="C365" s="4">
        <v>7</v>
      </c>
      <c r="D365" s="4" t="s">
        <v>15</v>
      </c>
      <c r="E365" s="4"/>
    </row>
    <row r="366" spans="1:5" x14ac:dyDescent="0.25">
      <c r="A366" s="4">
        <f>MATCH(PlanData[[#This Row],[Mã thiết bị]],EquipmentInfo[Mã thiết bị],0)</f>
        <v>234</v>
      </c>
      <c r="B366" s="4" t="s">
        <v>279</v>
      </c>
      <c r="C366" s="4">
        <v>10</v>
      </c>
      <c r="D366" s="4" t="s">
        <v>16</v>
      </c>
      <c r="E366" s="4"/>
    </row>
    <row r="367" spans="1:5" x14ac:dyDescent="0.25">
      <c r="A367" s="4">
        <f>MATCH(PlanData[[#This Row],[Mã thiết bị]],EquipmentInfo[Mã thiết bị],0)</f>
        <v>234</v>
      </c>
      <c r="B367" s="4" t="s">
        <v>279</v>
      </c>
      <c r="C367" s="4">
        <v>1</v>
      </c>
      <c r="D367" s="4" t="s">
        <v>16</v>
      </c>
      <c r="E367" s="4"/>
    </row>
    <row r="368" spans="1:5" x14ac:dyDescent="0.25">
      <c r="A368" s="4">
        <f>MATCH(PlanData[[#This Row],[Mã thiết bị]],EquipmentInfo[Mã thiết bị],0)</f>
        <v>234</v>
      </c>
      <c r="B368" s="4" t="s">
        <v>279</v>
      </c>
      <c r="C368" s="4">
        <v>4</v>
      </c>
      <c r="D368" s="4" t="s">
        <v>16</v>
      </c>
      <c r="E368" s="4"/>
    </row>
    <row r="369" spans="1:5" x14ac:dyDescent="0.25">
      <c r="A369" s="4">
        <f>MATCH(PlanData[[#This Row],[Mã thiết bị]],EquipmentInfo[Mã thiết bị],0)</f>
        <v>234</v>
      </c>
      <c r="B369" s="4" t="s">
        <v>279</v>
      </c>
      <c r="C369" s="4">
        <v>3</v>
      </c>
      <c r="D369" s="4" t="s">
        <v>17</v>
      </c>
      <c r="E369" s="4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lanTableCreator">
                <anchor moveWithCells="1" sizeWithCells="1">
                  <from>
                    <xdr:col>6</xdr:col>
                    <xdr:colOff>9525</xdr:colOff>
                    <xdr:row>1</xdr:row>
                    <xdr:rowOff>9525</xdr:rowOff>
                  </from>
                  <to>
                    <xdr:col>8</xdr:col>
                    <xdr:colOff>114300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lanTableCreator">
                <anchor moveWithCells="1" sizeWithCells="1">
                  <from>
                    <xdr:col>6</xdr:col>
                    <xdr:colOff>9525</xdr:colOff>
                    <xdr:row>7</xdr:row>
                    <xdr:rowOff>9525</xdr:rowOff>
                  </from>
                  <to>
                    <xdr:col>8</xdr:col>
                    <xdr:colOff>114300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BAD70-21B7-4C95-B280-BB8EBE3812A0}">
  <sheetPr codeName="Sheet7"/>
  <dimension ref="A1:J142"/>
  <sheetViews>
    <sheetView tabSelected="1" workbookViewId="0">
      <selection activeCell="C18" sqref="C18"/>
    </sheetView>
  </sheetViews>
  <sheetFormatPr defaultColWidth="8.85546875" defaultRowHeight="15" x14ac:dyDescent="0.25"/>
  <cols>
    <col min="1" max="1" width="12.28515625" style="1" customWidth="1"/>
    <col min="2" max="2" width="10.5703125" style="1" bestFit="1" customWidth="1"/>
    <col min="3" max="3" width="9.5703125" style="1" customWidth="1"/>
    <col min="4" max="4" width="9.28515625" style="1" customWidth="1"/>
    <col min="5" max="5" width="17.28515625" style="1" bestFit="1" customWidth="1"/>
    <col min="6" max="6" width="56.28515625" style="1" customWidth="1"/>
    <col min="7" max="7" width="68.5703125" style="1" customWidth="1"/>
    <col min="8" max="8" width="8.85546875" style="1"/>
    <col min="9" max="9" width="11.42578125" style="1" bestFit="1" customWidth="1"/>
    <col min="10" max="16384" width="8.85546875" style="1"/>
  </cols>
  <sheetData>
    <row r="1" spans="1:10" x14ac:dyDescent="0.25">
      <c r="A1" s="1" t="s">
        <v>724</v>
      </c>
      <c r="B1" s="1" t="s">
        <v>725</v>
      </c>
      <c r="C1" s="23" t="s">
        <v>839</v>
      </c>
      <c r="D1" s="1" t="s">
        <v>729</v>
      </c>
      <c r="E1" s="1" t="s">
        <v>737</v>
      </c>
      <c r="F1" s="1" t="s">
        <v>760</v>
      </c>
      <c r="G1" s="1" t="s">
        <v>736</v>
      </c>
      <c r="I1" s="1" t="s">
        <v>753</v>
      </c>
      <c r="J1" s="1" t="s">
        <v>882</v>
      </c>
    </row>
    <row r="2" spans="1:10" x14ac:dyDescent="0.25">
      <c r="A2" s="1" t="s">
        <v>273</v>
      </c>
      <c r="B2" s="7">
        <v>44943</v>
      </c>
      <c r="C2" s="24">
        <f>MONTH(Table4[[#This Row],[Ngày]])</f>
        <v>1</v>
      </c>
      <c r="D2" s="1" t="s">
        <v>16</v>
      </c>
      <c r="E2" s="1" t="s">
        <v>684</v>
      </c>
      <c r="G2" s="1" t="s">
        <v>863</v>
      </c>
    </row>
    <row r="3" spans="1:10" x14ac:dyDescent="0.25">
      <c r="A3" s="1" t="s">
        <v>274</v>
      </c>
      <c r="B3" s="7">
        <v>44943</v>
      </c>
      <c r="C3" s="24">
        <f>MONTH(Table4[[#This Row],[Ngày]])</f>
        <v>1</v>
      </c>
      <c r="D3" s="1" t="s">
        <v>16</v>
      </c>
      <c r="E3" s="1" t="s">
        <v>684</v>
      </c>
      <c r="G3" s="1" t="s">
        <v>863</v>
      </c>
    </row>
    <row r="4" spans="1:10" x14ac:dyDescent="0.25">
      <c r="A4" s="1" t="s">
        <v>279</v>
      </c>
      <c r="B4" s="7">
        <v>44943</v>
      </c>
      <c r="C4" s="24">
        <f>MONTH(Table4[[#This Row],[Ngày]])</f>
        <v>1</v>
      </c>
      <c r="D4" s="1" t="s">
        <v>16</v>
      </c>
      <c r="E4" s="1" t="s">
        <v>684</v>
      </c>
      <c r="G4" s="1" t="s">
        <v>863</v>
      </c>
    </row>
    <row r="5" spans="1:10" x14ac:dyDescent="0.25">
      <c r="A5" s="1" t="s">
        <v>34</v>
      </c>
      <c r="B5" s="7">
        <v>44944</v>
      </c>
      <c r="C5" s="24">
        <f>MONTH(Table4[[#This Row],[Ngày]])</f>
        <v>1</v>
      </c>
      <c r="D5" s="1" t="s">
        <v>16</v>
      </c>
      <c r="E5" s="1" t="s">
        <v>671</v>
      </c>
      <c r="G5" s="21" t="s">
        <v>791</v>
      </c>
    </row>
    <row r="6" spans="1:10" x14ac:dyDescent="0.25">
      <c r="A6" s="1" t="s">
        <v>36</v>
      </c>
      <c r="B6" s="7">
        <v>44944</v>
      </c>
      <c r="C6" s="24">
        <f>MONTH(Table4[[#This Row],[Ngày]])</f>
        <v>1</v>
      </c>
      <c r="D6" s="1" t="s">
        <v>16</v>
      </c>
      <c r="E6" s="1" t="s">
        <v>671</v>
      </c>
      <c r="G6" s="21" t="s">
        <v>792</v>
      </c>
    </row>
    <row r="7" spans="1:10" x14ac:dyDescent="0.25">
      <c r="A7" s="1" t="s">
        <v>97</v>
      </c>
      <c r="B7" s="7">
        <v>44945</v>
      </c>
      <c r="C7" s="24">
        <f>MONTH(Table4[[#This Row],[Ngày]])</f>
        <v>1</v>
      </c>
      <c r="D7" s="1" t="s">
        <v>16</v>
      </c>
      <c r="E7" s="1" t="s">
        <v>671</v>
      </c>
      <c r="G7" s="21" t="s">
        <v>802</v>
      </c>
    </row>
    <row r="8" spans="1:10" x14ac:dyDescent="0.25">
      <c r="A8" s="1" t="s">
        <v>102</v>
      </c>
      <c r="B8" s="7">
        <v>44939</v>
      </c>
      <c r="C8" s="24">
        <f>MONTH(Table4[[#This Row],[Ngày]])</f>
        <v>1</v>
      </c>
      <c r="D8" s="1" t="s">
        <v>16</v>
      </c>
      <c r="E8" s="1" t="s">
        <v>674</v>
      </c>
      <c r="G8" s="21" t="s">
        <v>803</v>
      </c>
    </row>
    <row r="9" spans="1:10" x14ac:dyDescent="0.25">
      <c r="A9" s="1" t="s">
        <v>103</v>
      </c>
      <c r="B9" s="7">
        <v>44939</v>
      </c>
      <c r="C9" s="24">
        <f>MONTH(Table4[[#This Row],[Ngày]])</f>
        <v>1</v>
      </c>
      <c r="D9" s="1" t="s">
        <v>16</v>
      </c>
      <c r="E9" s="1" t="s">
        <v>674</v>
      </c>
      <c r="G9" s="21" t="s">
        <v>804</v>
      </c>
    </row>
    <row r="10" spans="1:10" x14ac:dyDescent="0.25">
      <c r="A10" s="1" t="s">
        <v>41</v>
      </c>
      <c r="B10" s="7">
        <v>44939</v>
      </c>
      <c r="C10" s="24">
        <f>MONTH(Table4[[#This Row],[Ngày]])</f>
        <v>1</v>
      </c>
      <c r="D10" s="1" t="s">
        <v>16</v>
      </c>
      <c r="E10" s="1" t="s">
        <v>674</v>
      </c>
      <c r="G10" s="21" t="s">
        <v>795</v>
      </c>
    </row>
    <row r="11" spans="1:10" x14ac:dyDescent="0.25">
      <c r="A11" s="1" t="s">
        <v>126</v>
      </c>
      <c r="B11" s="7">
        <v>44945</v>
      </c>
      <c r="C11" s="24">
        <f>MONTH(Table4[[#This Row],[Ngày]])</f>
        <v>1</v>
      </c>
      <c r="D11" s="1" t="s">
        <v>16</v>
      </c>
      <c r="E11" s="1" t="s">
        <v>671</v>
      </c>
      <c r="G11" s="21" t="s">
        <v>808</v>
      </c>
    </row>
    <row r="12" spans="1:10" x14ac:dyDescent="0.25">
      <c r="A12" s="1" t="s">
        <v>128</v>
      </c>
      <c r="B12" s="7">
        <v>44945</v>
      </c>
      <c r="C12" s="24">
        <f>MONTH(Table4[[#This Row],[Ngày]])</f>
        <v>1</v>
      </c>
      <c r="D12" s="1" t="s">
        <v>16</v>
      </c>
      <c r="E12" s="1" t="s">
        <v>671</v>
      </c>
      <c r="G12" s="21" t="s">
        <v>805</v>
      </c>
    </row>
    <row r="13" spans="1:10" x14ac:dyDescent="0.25">
      <c r="A13" s="1" t="s">
        <v>141</v>
      </c>
      <c r="B13" s="7">
        <v>44931</v>
      </c>
      <c r="C13" s="24">
        <f>MONTH(Table4[[#This Row],[Ngày]])</f>
        <v>1</v>
      </c>
      <c r="D13" s="1" t="s">
        <v>16</v>
      </c>
      <c r="E13" s="7" t="s">
        <v>682</v>
      </c>
      <c r="G13" s="21" t="s">
        <v>806</v>
      </c>
    </row>
    <row r="14" spans="1:10" x14ac:dyDescent="0.25">
      <c r="A14" s="1" t="s">
        <v>143</v>
      </c>
      <c r="B14" s="7">
        <v>44939</v>
      </c>
      <c r="C14" s="24">
        <f>MONTH(Table4[[#This Row],[Ngày]])</f>
        <v>1</v>
      </c>
      <c r="D14" s="1" t="s">
        <v>16</v>
      </c>
      <c r="E14" s="7" t="s">
        <v>674</v>
      </c>
      <c r="G14" s="21" t="s">
        <v>807</v>
      </c>
    </row>
    <row r="15" spans="1:10" x14ac:dyDescent="0.25">
      <c r="A15" s="1" t="s">
        <v>153</v>
      </c>
      <c r="B15" s="7">
        <v>44945</v>
      </c>
      <c r="C15" s="24">
        <f>MONTH(Table4[[#This Row],[Ngày]])</f>
        <v>1</v>
      </c>
      <c r="D15" s="1" t="s">
        <v>16</v>
      </c>
      <c r="E15" s="1" t="s">
        <v>671</v>
      </c>
      <c r="G15" s="21" t="s">
        <v>809</v>
      </c>
    </row>
    <row r="16" spans="1:10" x14ac:dyDescent="0.25">
      <c r="A16" s="1" t="s">
        <v>154</v>
      </c>
      <c r="B16" s="7">
        <v>44945</v>
      </c>
      <c r="C16" s="24">
        <f>MONTH(Table4[[#This Row],[Ngày]])</f>
        <v>1</v>
      </c>
      <c r="D16" s="1" t="s">
        <v>16</v>
      </c>
      <c r="E16" s="1" t="s">
        <v>671</v>
      </c>
      <c r="G16" s="21" t="s">
        <v>810</v>
      </c>
    </row>
    <row r="17" spans="1:7" x14ac:dyDescent="0.25">
      <c r="A17" s="1" t="s">
        <v>155</v>
      </c>
      <c r="B17" s="7">
        <v>44938</v>
      </c>
      <c r="C17" s="24">
        <f>MONTH(Table4[[#This Row],[Ngày]])</f>
        <v>1</v>
      </c>
      <c r="D17" s="1" t="s">
        <v>16</v>
      </c>
      <c r="E17" s="1" t="s">
        <v>674</v>
      </c>
      <c r="G17" s="21" t="s">
        <v>811</v>
      </c>
    </row>
    <row r="18" spans="1:7" x14ac:dyDescent="0.25">
      <c r="A18" s="1" t="s">
        <v>158</v>
      </c>
      <c r="B18" s="7">
        <v>44939</v>
      </c>
      <c r="C18" s="24">
        <f>MONTH(Table4[[#This Row],[Ngày]])</f>
        <v>1</v>
      </c>
      <c r="D18" s="1" t="s">
        <v>16</v>
      </c>
      <c r="E18" s="1" t="s">
        <v>674</v>
      </c>
      <c r="G18" s="21" t="s">
        <v>812</v>
      </c>
    </row>
    <row r="19" spans="1:7" x14ac:dyDescent="0.25">
      <c r="A19" s="1" t="s">
        <v>159</v>
      </c>
      <c r="B19" s="7">
        <v>44939</v>
      </c>
      <c r="C19" s="24">
        <f>MONTH(Table4[[#This Row],[Ngày]])</f>
        <v>1</v>
      </c>
      <c r="D19" s="1" t="s">
        <v>16</v>
      </c>
      <c r="E19" s="1" t="s">
        <v>674</v>
      </c>
      <c r="G19" s="21" t="s">
        <v>813</v>
      </c>
    </row>
    <row r="20" spans="1:7" x14ac:dyDescent="0.25">
      <c r="A20" s="1" t="s">
        <v>160</v>
      </c>
      <c r="B20" s="7">
        <v>44939</v>
      </c>
      <c r="C20" s="24">
        <f>MONTH(Table4[[#This Row],[Ngày]])</f>
        <v>1</v>
      </c>
      <c r="D20" s="1" t="s">
        <v>16</v>
      </c>
      <c r="E20" s="1" t="s">
        <v>674</v>
      </c>
      <c r="G20" s="21" t="s">
        <v>814</v>
      </c>
    </row>
    <row r="21" spans="1:7" x14ac:dyDescent="0.25">
      <c r="A21" s="1" t="s">
        <v>161</v>
      </c>
      <c r="B21" s="7">
        <v>44939</v>
      </c>
      <c r="C21" s="24">
        <f>MONTH(Table4[[#This Row],[Ngày]])</f>
        <v>1</v>
      </c>
      <c r="D21" s="1" t="s">
        <v>16</v>
      </c>
      <c r="E21" s="1" t="s">
        <v>674</v>
      </c>
      <c r="G21" s="21" t="s">
        <v>815</v>
      </c>
    </row>
    <row r="22" spans="1:7" x14ac:dyDescent="0.25">
      <c r="A22" s="1" t="s">
        <v>200</v>
      </c>
      <c r="B22" s="7">
        <v>44939</v>
      </c>
      <c r="C22" s="24">
        <f>MONTH(Table4[[#This Row],[Ngày]])</f>
        <v>1</v>
      </c>
      <c r="D22" s="1" t="s">
        <v>16</v>
      </c>
      <c r="E22" s="1" t="s">
        <v>674</v>
      </c>
      <c r="G22" s="21" t="s">
        <v>816</v>
      </c>
    </row>
    <row r="23" spans="1:7" x14ac:dyDescent="0.25">
      <c r="A23" s="1" t="s">
        <v>43</v>
      </c>
      <c r="B23" s="7">
        <v>44944</v>
      </c>
      <c r="C23" s="24">
        <f>MONTH(Table4[[#This Row],[Ngày]])</f>
        <v>1</v>
      </c>
      <c r="D23" s="1" t="s">
        <v>16</v>
      </c>
      <c r="E23" s="1" t="s">
        <v>671</v>
      </c>
      <c r="G23" s="21" t="s">
        <v>793</v>
      </c>
    </row>
    <row r="24" spans="1:7" x14ac:dyDescent="0.25">
      <c r="A24" s="1" t="s">
        <v>73</v>
      </c>
      <c r="B24" s="7">
        <v>44944</v>
      </c>
      <c r="C24" s="24">
        <f>MONTH(Table4[[#This Row],[Ngày]])</f>
        <v>1</v>
      </c>
      <c r="D24" s="1" t="s">
        <v>16</v>
      </c>
      <c r="E24" s="1" t="s">
        <v>671</v>
      </c>
      <c r="G24" s="21" t="s">
        <v>794</v>
      </c>
    </row>
    <row r="25" spans="1:7" x14ac:dyDescent="0.25">
      <c r="A25" s="1" t="s">
        <v>74</v>
      </c>
      <c r="B25" s="7">
        <v>44939</v>
      </c>
      <c r="C25" s="24">
        <f>MONTH(Table4[[#This Row],[Ngày]])</f>
        <v>1</v>
      </c>
      <c r="D25" s="1" t="s">
        <v>16</v>
      </c>
      <c r="E25" s="1" t="s">
        <v>674</v>
      </c>
      <c r="G25" s="21" t="s">
        <v>796</v>
      </c>
    </row>
    <row r="26" spans="1:7" x14ac:dyDescent="0.25">
      <c r="A26" s="1" t="s">
        <v>75</v>
      </c>
      <c r="B26" s="7">
        <v>44944</v>
      </c>
      <c r="C26" s="24">
        <f>MONTH(Table4[[#This Row],[Ngày]])</f>
        <v>1</v>
      </c>
      <c r="D26" s="1" t="s">
        <v>16</v>
      </c>
      <c r="E26" s="1" t="s">
        <v>671</v>
      </c>
      <c r="G26" s="21" t="s">
        <v>797</v>
      </c>
    </row>
    <row r="27" spans="1:7" x14ac:dyDescent="0.25">
      <c r="A27" s="1" t="s">
        <v>79</v>
      </c>
      <c r="B27" s="7">
        <v>44939</v>
      </c>
      <c r="C27" s="24">
        <f>MONTH(Table4[[#This Row],[Ngày]])</f>
        <v>1</v>
      </c>
      <c r="D27" s="1" t="s">
        <v>16</v>
      </c>
      <c r="E27" s="1" t="s">
        <v>674</v>
      </c>
      <c r="G27" s="21" t="s">
        <v>798</v>
      </c>
    </row>
    <row r="28" spans="1:7" x14ac:dyDescent="0.25">
      <c r="A28" s="1" t="s">
        <v>89</v>
      </c>
      <c r="B28" s="7">
        <v>44942</v>
      </c>
      <c r="C28" s="24">
        <f>MONTH(Table4[[#This Row],[Ngày]])</f>
        <v>1</v>
      </c>
      <c r="D28" s="1" t="s">
        <v>16</v>
      </c>
      <c r="E28" s="1" t="s">
        <v>673</v>
      </c>
      <c r="G28" s="21" t="s">
        <v>799</v>
      </c>
    </row>
    <row r="29" spans="1:7" x14ac:dyDescent="0.25">
      <c r="A29" s="1" t="s">
        <v>91</v>
      </c>
      <c r="B29" s="7">
        <v>44945</v>
      </c>
      <c r="C29" s="24">
        <f>MONTH(Table4[[#This Row],[Ngày]])</f>
        <v>1</v>
      </c>
      <c r="D29" s="1" t="s">
        <v>16</v>
      </c>
      <c r="E29" s="1" t="s">
        <v>671</v>
      </c>
      <c r="G29" s="21" t="s">
        <v>800</v>
      </c>
    </row>
    <row r="30" spans="1:7" x14ac:dyDescent="0.25">
      <c r="A30" s="1" t="s">
        <v>96</v>
      </c>
      <c r="B30" s="7">
        <v>44942</v>
      </c>
      <c r="C30" s="24">
        <f>MONTH(Table4[[#This Row],[Ngày]])</f>
        <v>1</v>
      </c>
      <c r="D30" s="1" t="s">
        <v>16</v>
      </c>
      <c r="E30" s="1" t="s">
        <v>673</v>
      </c>
      <c r="G30" s="21" t="s">
        <v>801</v>
      </c>
    </row>
    <row r="31" spans="1:7" x14ac:dyDescent="0.25">
      <c r="A31" s="1" t="s">
        <v>201</v>
      </c>
      <c r="B31" s="7">
        <v>44940</v>
      </c>
      <c r="C31" s="24">
        <f>MONTH(Table4[[#This Row],[Ngày]])</f>
        <v>1</v>
      </c>
      <c r="D31" s="1" t="s">
        <v>15</v>
      </c>
      <c r="E31" s="1" t="s">
        <v>788</v>
      </c>
      <c r="G31" s="1" t="s">
        <v>863</v>
      </c>
    </row>
    <row r="32" spans="1:7" x14ac:dyDescent="0.25">
      <c r="A32" s="1" t="s">
        <v>202</v>
      </c>
      <c r="B32" s="7">
        <v>44940</v>
      </c>
      <c r="C32" s="24">
        <f>MONTH(Table4[[#This Row],[Ngày]])</f>
        <v>1</v>
      </c>
      <c r="D32" s="1" t="s">
        <v>15</v>
      </c>
      <c r="E32" s="1" t="s">
        <v>788</v>
      </c>
      <c r="G32" s="1" t="s">
        <v>863</v>
      </c>
    </row>
    <row r="33" spans="1:7" x14ac:dyDescent="0.25">
      <c r="A33" s="1" t="s">
        <v>203</v>
      </c>
      <c r="B33" s="7">
        <v>44940</v>
      </c>
      <c r="C33" s="24">
        <f>MONTH(Table4[[#This Row],[Ngày]])</f>
        <v>1</v>
      </c>
      <c r="D33" s="1" t="s">
        <v>15</v>
      </c>
      <c r="E33" s="1" t="s">
        <v>788</v>
      </c>
      <c r="G33" s="1" t="s">
        <v>863</v>
      </c>
    </row>
    <row r="34" spans="1:7" x14ac:dyDescent="0.25">
      <c r="A34" s="1" t="s">
        <v>204</v>
      </c>
      <c r="B34" s="7">
        <v>44940</v>
      </c>
      <c r="C34" s="24">
        <f>MONTH(Table4[[#This Row],[Ngày]])</f>
        <v>1</v>
      </c>
      <c r="D34" s="1" t="s">
        <v>15</v>
      </c>
      <c r="E34" s="1" t="s">
        <v>788</v>
      </c>
      <c r="G34" s="1" t="s">
        <v>863</v>
      </c>
    </row>
    <row r="35" spans="1:7" x14ac:dyDescent="0.25">
      <c r="A35" s="1" t="s">
        <v>205</v>
      </c>
      <c r="B35" s="7">
        <v>44940</v>
      </c>
      <c r="C35" s="24">
        <f>MONTH(Table4[[#This Row],[Ngày]])</f>
        <v>1</v>
      </c>
      <c r="D35" s="1" t="s">
        <v>15</v>
      </c>
      <c r="E35" s="1" t="s">
        <v>788</v>
      </c>
      <c r="G35" s="1" t="s">
        <v>863</v>
      </c>
    </row>
    <row r="36" spans="1:7" x14ac:dyDescent="0.25">
      <c r="A36" s="1" t="s">
        <v>206</v>
      </c>
      <c r="B36" s="7">
        <v>44940</v>
      </c>
      <c r="C36" s="24">
        <f>MONTH(Table4[[#This Row],[Ngày]])</f>
        <v>1</v>
      </c>
      <c r="D36" s="1" t="s">
        <v>15</v>
      </c>
      <c r="E36" s="1" t="s">
        <v>788</v>
      </c>
      <c r="G36" s="1" t="s">
        <v>863</v>
      </c>
    </row>
    <row r="37" spans="1:7" x14ac:dyDescent="0.25">
      <c r="A37" s="1" t="s">
        <v>207</v>
      </c>
      <c r="B37" s="7">
        <v>44940</v>
      </c>
      <c r="C37" s="24">
        <f>MONTH(Table4[[#This Row],[Ngày]])</f>
        <v>1</v>
      </c>
      <c r="D37" s="1" t="s">
        <v>15</v>
      </c>
      <c r="E37" s="1" t="s">
        <v>788</v>
      </c>
      <c r="G37" s="1" t="s">
        <v>863</v>
      </c>
    </row>
    <row r="38" spans="1:7" x14ac:dyDescent="0.25">
      <c r="A38" s="1" t="s">
        <v>208</v>
      </c>
      <c r="B38" s="7">
        <v>44940</v>
      </c>
      <c r="C38" s="24">
        <f>MONTH(Table4[[#This Row],[Ngày]])</f>
        <v>1</v>
      </c>
      <c r="D38" s="1" t="s">
        <v>15</v>
      </c>
      <c r="E38" s="1" t="s">
        <v>788</v>
      </c>
      <c r="G38" s="1" t="s">
        <v>863</v>
      </c>
    </row>
    <row r="39" spans="1:7" x14ac:dyDescent="0.25">
      <c r="A39" s="1" t="s">
        <v>209</v>
      </c>
      <c r="B39" s="7">
        <v>44940</v>
      </c>
      <c r="C39" s="24">
        <f>MONTH(Table4[[#This Row],[Ngày]])</f>
        <v>1</v>
      </c>
      <c r="D39" s="1" t="s">
        <v>15</v>
      </c>
      <c r="E39" s="1" t="s">
        <v>788</v>
      </c>
      <c r="G39" s="1" t="s">
        <v>863</v>
      </c>
    </row>
    <row r="40" spans="1:7" x14ac:dyDescent="0.25">
      <c r="A40" s="1" t="s">
        <v>210</v>
      </c>
      <c r="B40" s="7">
        <v>44940</v>
      </c>
      <c r="C40" s="24">
        <f>MONTH(Table4[[#This Row],[Ngày]])</f>
        <v>1</v>
      </c>
      <c r="D40" s="1" t="s">
        <v>15</v>
      </c>
      <c r="E40" s="1" t="s">
        <v>788</v>
      </c>
      <c r="G40" s="1" t="s">
        <v>863</v>
      </c>
    </row>
    <row r="41" spans="1:7" x14ac:dyDescent="0.25">
      <c r="A41" s="1" t="s">
        <v>211</v>
      </c>
      <c r="B41" s="7">
        <v>44940</v>
      </c>
      <c r="C41" s="24">
        <f>MONTH(Table4[[#This Row],[Ngày]])</f>
        <v>1</v>
      </c>
      <c r="D41" s="1" t="s">
        <v>15</v>
      </c>
      <c r="E41" s="1" t="s">
        <v>788</v>
      </c>
      <c r="G41" s="1" t="s">
        <v>863</v>
      </c>
    </row>
    <row r="42" spans="1:7" x14ac:dyDescent="0.25">
      <c r="A42" s="1" t="s">
        <v>395</v>
      </c>
      <c r="B42" s="7">
        <v>44940</v>
      </c>
      <c r="C42" s="24">
        <f>MONTH(Table4[[#This Row],[Ngày]])</f>
        <v>1</v>
      </c>
      <c r="D42" s="1" t="s">
        <v>15</v>
      </c>
      <c r="E42" s="1" t="s">
        <v>788</v>
      </c>
      <c r="G42" s="1" t="s">
        <v>863</v>
      </c>
    </row>
    <row r="43" spans="1:7" x14ac:dyDescent="0.25">
      <c r="A43" s="1" t="s">
        <v>212</v>
      </c>
      <c r="B43" s="7">
        <v>44940</v>
      </c>
      <c r="C43" s="24">
        <f>MONTH(Table4[[#This Row],[Ngày]])</f>
        <v>1</v>
      </c>
      <c r="D43" s="1" t="s">
        <v>15</v>
      </c>
      <c r="E43" s="1" t="s">
        <v>788</v>
      </c>
      <c r="G43" s="1" t="s">
        <v>863</v>
      </c>
    </row>
    <row r="44" spans="1:7" x14ac:dyDescent="0.25">
      <c r="A44" s="1" t="s">
        <v>213</v>
      </c>
      <c r="B44" s="7">
        <v>44940</v>
      </c>
      <c r="C44" s="24">
        <f>MONTH(Table4[[#This Row],[Ngày]])</f>
        <v>1</v>
      </c>
      <c r="D44" s="1" t="s">
        <v>15</v>
      </c>
      <c r="E44" s="1" t="s">
        <v>788</v>
      </c>
      <c r="G44" s="1" t="s">
        <v>863</v>
      </c>
    </row>
    <row r="45" spans="1:7" x14ac:dyDescent="0.25">
      <c r="A45" s="1" t="s">
        <v>214</v>
      </c>
      <c r="B45" s="7">
        <v>44940</v>
      </c>
      <c r="C45" s="24">
        <f>MONTH(Table4[[#This Row],[Ngày]])</f>
        <v>1</v>
      </c>
      <c r="D45" s="1" t="s">
        <v>15</v>
      </c>
      <c r="E45" s="1" t="s">
        <v>788</v>
      </c>
      <c r="G45" s="1" t="s">
        <v>863</v>
      </c>
    </row>
    <row r="46" spans="1:7" x14ac:dyDescent="0.25">
      <c r="A46" s="1" t="s">
        <v>215</v>
      </c>
      <c r="B46" s="7">
        <v>44940</v>
      </c>
      <c r="C46" s="24">
        <f>MONTH(Table4[[#This Row],[Ngày]])</f>
        <v>1</v>
      </c>
      <c r="D46" s="1" t="s">
        <v>15</v>
      </c>
      <c r="E46" s="1" t="s">
        <v>788</v>
      </c>
      <c r="G46" s="1" t="s">
        <v>863</v>
      </c>
    </row>
    <row r="47" spans="1:7" x14ac:dyDescent="0.25">
      <c r="A47" s="1" t="s">
        <v>216</v>
      </c>
      <c r="B47" s="7">
        <v>44940</v>
      </c>
      <c r="C47" s="24">
        <f>MONTH(Table4[[#This Row],[Ngày]])</f>
        <v>1</v>
      </c>
      <c r="D47" s="1" t="s">
        <v>15</v>
      </c>
      <c r="E47" s="1" t="s">
        <v>788</v>
      </c>
      <c r="G47" s="1" t="s">
        <v>863</v>
      </c>
    </row>
    <row r="48" spans="1:7" x14ac:dyDescent="0.25">
      <c r="A48" s="1" t="s">
        <v>217</v>
      </c>
      <c r="B48" s="7">
        <v>44940</v>
      </c>
      <c r="C48" s="24">
        <f>MONTH(Table4[[#This Row],[Ngày]])</f>
        <v>1</v>
      </c>
      <c r="D48" s="1" t="s">
        <v>15</v>
      </c>
      <c r="E48" s="1" t="s">
        <v>788</v>
      </c>
      <c r="G48" s="1" t="s">
        <v>863</v>
      </c>
    </row>
    <row r="49" spans="1:7" x14ac:dyDescent="0.25">
      <c r="A49" s="1" t="s">
        <v>218</v>
      </c>
      <c r="B49" s="7">
        <v>44940</v>
      </c>
      <c r="C49" s="24">
        <f>MONTH(Table4[[#This Row],[Ngày]])</f>
        <v>1</v>
      </c>
      <c r="D49" s="1" t="s">
        <v>15</v>
      </c>
      <c r="E49" s="1" t="s">
        <v>788</v>
      </c>
      <c r="G49" s="1" t="s">
        <v>863</v>
      </c>
    </row>
    <row r="50" spans="1:7" x14ac:dyDescent="0.25">
      <c r="A50" s="1" t="s">
        <v>219</v>
      </c>
      <c r="B50" s="7">
        <v>44940</v>
      </c>
      <c r="C50" s="24">
        <f>MONTH(Table4[[#This Row],[Ngày]])</f>
        <v>1</v>
      </c>
      <c r="D50" s="1" t="s">
        <v>15</v>
      </c>
      <c r="E50" s="1" t="s">
        <v>788</v>
      </c>
      <c r="G50" s="1" t="s">
        <v>863</v>
      </c>
    </row>
    <row r="51" spans="1:7" x14ac:dyDescent="0.25">
      <c r="A51" s="1" t="s">
        <v>220</v>
      </c>
      <c r="B51" s="7">
        <v>44940</v>
      </c>
      <c r="C51" s="24">
        <f>MONTH(Table4[[#This Row],[Ngày]])</f>
        <v>1</v>
      </c>
      <c r="D51" s="1" t="s">
        <v>15</v>
      </c>
      <c r="E51" s="1" t="s">
        <v>788</v>
      </c>
      <c r="G51" s="1" t="s">
        <v>863</v>
      </c>
    </row>
    <row r="52" spans="1:7" x14ac:dyDescent="0.25">
      <c r="A52" s="1" t="s">
        <v>221</v>
      </c>
      <c r="B52" s="7">
        <v>44940</v>
      </c>
      <c r="C52" s="24">
        <f>MONTH(Table4[[#This Row],[Ngày]])</f>
        <v>1</v>
      </c>
      <c r="D52" s="1" t="s">
        <v>15</v>
      </c>
      <c r="E52" s="1" t="s">
        <v>788</v>
      </c>
      <c r="G52" s="1" t="s">
        <v>863</v>
      </c>
    </row>
    <row r="53" spans="1:7" x14ac:dyDescent="0.25">
      <c r="A53" s="1" t="s">
        <v>222</v>
      </c>
      <c r="B53" s="7">
        <v>44940</v>
      </c>
      <c r="C53" s="24">
        <f>MONTH(Table4[[#This Row],[Ngày]])</f>
        <v>1</v>
      </c>
      <c r="D53" s="1" t="s">
        <v>15</v>
      </c>
      <c r="E53" s="1" t="s">
        <v>788</v>
      </c>
      <c r="G53" s="1" t="s">
        <v>863</v>
      </c>
    </row>
    <row r="54" spans="1:7" x14ac:dyDescent="0.25">
      <c r="A54" s="1" t="s">
        <v>223</v>
      </c>
      <c r="B54" s="7">
        <v>44940</v>
      </c>
      <c r="C54" s="24">
        <f>MONTH(Table4[[#This Row],[Ngày]])</f>
        <v>1</v>
      </c>
      <c r="D54" s="1" t="s">
        <v>15</v>
      </c>
      <c r="E54" s="1" t="s">
        <v>788</v>
      </c>
      <c r="G54" s="1" t="s">
        <v>863</v>
      </c>
    </row>
    <row r="55" spans="1:7" x14ac:dyDescent="0.25">
      <c r="A55" s="1" t="s">
        <v>224</v>
      </c>
      <c r="B55" s="7">
        <v>44940</v>
      </c>
      <c r="C55" s="24">
        <f>MONTH(Table4[[#This Row],[Ngày]])</f>
        <v>1</v>
      </c>
      <c r="D55" s="1" t="s">
        <v>15</v>
      </c>
      <c r="E55" s="1" t="s">
        <v>788</v>
      </c>
      <c r="G55" s="1" t="s">
        <v>863</v>
      </c>
    </row>
    <row r="56" spans="1:7" x14ac:dyDescent="0.25">
      <c r="A56" s="1" t="s">
        <v>225</v>
      </c>
      <c r="B56" s="7">
        <v>44940</v>
      </c>
      <c r="C56" s="24">
        <f>MONTH(Table4[[#This Row],[Ngày]])</f>
        <v>1</v>
      </c>
      <c r="D56" s="1" t="s">
        <v>15</v>
      </c>
      <c r="E56" s="1" t="s">
        <v>788</v>
      </c>
      <c r="G56" s="1" t="s">
        <v>863</v>
      </c>
    </row>
    <row r="57" spans="1:7" x14ac:dyDescent="0.25">
      <c r="A57" s="1" t="s">
        <v>226</v>
      </c>
      <c r="B57" s="7">
        <v>44940</v>
      </c>
      <c r="C57" s="24">
        <f>MONTH(Table4[[#This Row],[Ngày]])</f>
        <v>1</v>
      </c>
      <c r="D57" s="1" t="s">
        <v>15</v>
      </c>
      <c r="E57" s="1" t="s">
        <v>788</v>
      </c>
      <c r="G57" s="1" t="s">
        <v>863</v>
      </c>
    </row>
    <row r="58" spans="1:7" x14ac:dyDescent="0.25">
      <c r="A58" s="1" t="s">
        <v>227</v>
      </c>
      <c r="B58" s="7">
        <v>44940</v>
      </c>
      <c r="C58" s="24">
        <f>MONTH(Table4[[#This Row],[Ngày]])</f>
        <v>1</v>
      </c>
      <c r="D58" s="1" t="s">
        <v>15</v>
      </c>
      <c r="E58" s="1" t="s">
        <v>788</v>
      </c>
      <c r="G58" s="1" t="s">
        <v>863</v>
      </c>
    </row>
    <row r="59" spans="1:7" x14ac:dyDescent="0.25">
      <c r="A59" s="1" t="s">
        <v>228</v>
      </c>
      <c r="B59" s="7">
        <v>44940</v>
      </c>
      <c r="C59" s="24">
        <f>MONTH(Table4[[#This Row],[Ngày]])</f>
        <v>1</v>
      </c>
      <c r="D59" s="1" t="s">
        <v>15</v>
      </c>
      <c r="E59" s="1" t="s">
        <v>788</v>
      </c>
      <c r="G59" s="1" t="s">
        <v>863</v>
      </c>
    </row>
    <row r="60" spans="1:7" x14ac:dyDescent="0.25">
      <c r="A60" s="1" t="s">
        <v>229</v>
      </c>
      <c r="B60" s="7">
        <v>44940</v>
      </c>
      <c r="C60" s="24">
        <f>MONTH(Table4[[#This Row],[Ngày]])</f>
        <v>1</v>
      </c>
      <c r="D60" s="1" t="s">
        <v>15</v>
      </c>
      <c r="E60" s="1" t="s">
        <v>788</v>
      </c>
      <c r="G60" s="1" t="s">
        <v>863</v>
      </c>
    </row>
    <row r="61" spans="1:7" x14ac:dyDescent="0.25">
      <c r="A61" s="1" t="s">
        <v>230</v>
      </c>
      <c r="B61" s="7">
        <v>44940</v>
      </c>
      <c r="C61" s="24">
        <f>MONTH(Table4[[#This Row],[Ngày]])</f>
        <v>1</v>
      </c>
      <c r="D61" s="1" t="s">
        <v>15</v>
      </c>
      <c r="E61" s="1" t="s">
        <v>788</v>
      </c>
      <c r="G61" s="1" t="s">
        <v>863</v>
      </c>
    </row>
    <row r="62" spans="1:7" x14ac:dyDescent="0.25">
      <c r="A62" s="1" t="s">
        <v>231</v>
      </c>
      <c r="B62" s="7">
        <v>44940</v>
      </c>
      <c r="C62" s="24">
        <f>MONTH(Table4[[#This Row],[Ngày]])</f>
        <v>1</v>
      </c>
      <c r="D62" s="1" t="s">
        <v>15</v>
      </c>
      <c r="E62" s="1" t="s">
        <v>788</v>
      </c>
      <c r="G62" s="1" t="s">
        <v>863</v>
      </c>
    </row>
    <row r="63" spans="1:7" x14ac:dyDescent="0.25">
      <c r="A63" s="1" t="s">
        <v>232</v>
      </c>
      <c r="B63" s="7">
        <v>44936</v>
      </c>
      <c r="C63" s="24">
        <f>MONTH(Table4[[#This Row],[Ngày]])</f>
        <v>1</v>
      </c>
      <c r="D63" s="1" t="s">
        <v>15</v>
      </c>
      <c r="E63" s="1" t="s">
        <v>741</v>
      </c>
      <c r="G63" s="21" t="s">
        <v>840</v>
      </c>
    </row>
    <row r="64" spans="1:7" x14ac:dyDescent="0.25">
      <c r="A64" s="1" t="s">
        <v>233</v>
      </c>
      <c r="B64" s="7">
        <v>44940</v>
      </c>
      <c r="C64" s="24">
        <f>MONTH(Table4[[#This Row],[Ngày]])</f>
        <v>1</v>
      </c>
      <c r="D64" s="1" t="s">
        <v>15</v>
      </c>
      <c r="E64" s="1" t="s">
        <v>788</v>
      </c>
      <c r="G64" s="1" t="s">
        <v>863</v>
      </c>
    </row>
    <row r="65" spans="1:7" x14ac:dyDescent="0.25">
      <c r="A65" s="1" t="s">
        <v>234</v>
      </c>
      <c r="B65" s="7">
        <v>44940</v>
      </c>
      <c r="C65" s="24">
        <f>MONTH(Table4[[#This Row],[Ngày]])</f>
        <v>1</v>
      </c>
      <c r="D65" s="1" t="s">
        <v>15</v>
      </c>
      <c r="E65" s="1" t="s">
        <v>788</v>
      </c>
      <c r="G65" s="1" t="s">
        <v>863</v>
      </c>
    </row>
    <row r="66" spans="1:7" x14ac:dyDescent="0.25">
      <c r="A66" s="1" t="s">
        <v>235</v>
      </c>
      <c r="B66" s="7">
        <v>44940</v>
      </c>
      <c r="C66" s="24">
        <f>MONTH(Table4[[#This Row],[Ngày]])</f>
        <v>1</v>
      </c>
      <c r="D66" s="1" t="s">
        <v>15</v>
      </c>
      <c r="E66" s="1" t="s">
        <v>788</v>
      </c>
      <c r="G66" s="1" t="s">
        <v>863</v>
      </c>
    </row>
    <row r="67" spans="1:7" x14ac:dyDescent="0.25">
      <c r="A67" s="1" t="s">
        <v>236</v>
      </c>
      <c r="B67" s="7">
        <v>44940</v>
      </c>
      <c r="C67" s="24">
        <f>MONTH(Table4[[#This Row],[Ngày]])</f>
        <v>1</v>
      </c>
      <c r="D67" s="1" t="s">
        <v>15</v>
      </c>
      <c r="E67" s="1" t="s">
        <v>788</v>
      </c>
      <c r="G67" s="1" t="s">
        <v>863</v>
      </c>
    </row>
    <row r="68" spans="1:7" x14ac:dyDescent="0.25">
      <c r="A68" s="1" t="s">
        <v>237</v>
      </c>
      <c r="B68" s="7">
        <v>44940</v>
      </c>
      <c r="C68" s="24">
        <f>MONTH(Table4[[#This Row],[Ngày]])</f>
        <v>1</v>
      </c>
      <c r="D68" s="1" t="s">
        <v>15</v>
      </c>
      <c r="E68" s="1" t="s">
        <v>788</v>
      </c>
      <c r="G68" s="1" t="s">
        <v>863</v>
      </c>
    </row>
    <row r="69" spans="1:7" x14ac:dyDescent="0.25">
      <c r="A69" s="1" t="s">
        <v>238</v>
      </c>
      <c r="B69" s="7">
        <v>44940</v>
      </c>
      <c r="C69" s="24">
        <f>MONTH(Table4[[#This Row],[Ngày]])</f>
        <v>1</v>
      </c>
      <c r="D69" s="1" t="s">
        <v>15</v>
      </c>
      <c r="E69" s="1" t="s">
        <v>788</v>
      </c>
      <c r="G69" s="1" t="s">
        <v>863</v>
      </c>
    </row>
    <row r="70" spans="1:7" x14ac:dyDescent="0.25">
      <c r="A70" s="1" t="s">
        <v>186</v>
      </c>
      <c r="B70" s="7">
        <v>44936</v>
      </c>
      <c r="C70" s="24">
        <f>MONTH(Table4[[#This Row],[Ngày]])</f>
        <v>1</v>
      </c>
      <c r="D70" s="1" t="s">
        <v>15</v>
      </c>
      <c r="E70" s="1" t="s">
        <v>741</v>
      </c>
      <c r="G70" s="21" t="s">
        <v>841</v>
      </c>
    </row>
    <row r="71" spans="1:7" x14ac:dyDescent="0.25">
      <c r="A71" s="1" t="s">
        <v>187</v>
      </c>
      <c r="B71" s="7">
        <v>44936</v>
      </c>
      <c r="C71" s="24">
        <f>MONTH(Table4[[#This Row],[Ngày]])</f>
        <v>1</v>
      </c>
      <c r="D71" s="1" t="s">
        <v>15</v>
      </c>
      <c r="E71" s="1" t="s">
        <v>741</v>
      </c>
      <c r="G71" s="21" t="s">
        <v>842</v>
      </c>
    </row>
    <row r="72" spans="1:7" x14ac:dyDescent="0.25">
      <c r="A72" s="1" t="s">
        <v>188</v>
      </c>
      <c r="B72" s="7">
        <v>44936</v>
      </c>
      <c r="C72" s="24">
        <f>MONTH(Table4[[#This Row],[Ngày]])</f>
        <v>1</v>
      </c>
      <c r="D72" s="1" t="s">
        <v>15</v>
      </c>
      <c r="E72" s="1" t="s">
        <v>741</v>
      </c>
      <c r="G72" s="21" t="s">
        <v>843</v>
      </c>
    </row>
    <row r="73" spans="1:7" x14ac:dyDescent="0.25">
      <c r="A73" s="1" t="s">
        <v>189</v>
      </c>
      <c r="B73" s="7">
        <v>44936</v>
      </c>
      <c r="C73" s="24">
        <f>MONTH(Table4[[#This Row],[Ngày]])</f>
        <v>1</v>
      </c>
      <c r="D73" s="1" t="s">
        <v>15</v>
      </c>
      <c r="E73" s="1" t="s">
        <v>741</v>
      </c>
      <c r="G73" s="21" t="s">
        <v>844</v>
      </c>
    </row>
    <row r="74" spans="1:7" x14ac:dyDescent="0.25">
      <c r="A74" s="1" t="s">
        <v>190</v>
      </c>
      <c r="B74" s="7">
        <v>44936</v>
      </c>
      <c r="C74" s="24">
        <f>MONTH(Table4[[#This Row],[Ngày]])</f>
        <v>1</v>
      </c>
      <c r="D74" s="1" t="s">
        <v>15</v>
      </c>
      <c r="E74" s="1" t="s">
        <v>741</v>
      </c>
      <c r="G74" s="21" t="s">
        <v>845</v>
      </c>
    </row>
    <row r="75" spans="1:7" x14ac:dyDescent="0.25">
      <c r="A75" s="1" t="s">
        <v>191</v>
      </c>
      <c r="B75" s="7">
        <v>44936</v>
      </c>
      <c r="C75" s="24">
        <f>MONTH(Table4[[#This Row],[Ngày]])</f>
        <v>1</v>
      </c>
      <c r="D75" s="1" t="s">
        <v>15</v>
      </c>
      <c r="E75" s="1" t="s">
        <v>741</v>
      </c>
      <c r="G75" s="21" t="s">
        <v>846</v>
      </c>
    </row>
    <row r="76" spans="1:7" x14ac:dyDescent="0.25">
      <c r="A76" s="1" t="s">
        <v>192</v>
      </c>
      <c r="B76" s="7">
        <v>44936</v>
      </c>
      <c r="C76" s="24">
        <f>MONTH(Table4[[#This Row],[Ngày]])</f>
        <v>1</v>
      </c>
      <c r="D76" s="1" t="s">
        <v>15</v>
      </c>
      <c r="E76" s="1" t="s">
        <v>741</v>
      </c>
      <c r="G76" s="21" t="s">
        <v>847</v>
      </c>
    </row>
    <row r="77" spans="1:7" x14ac:dyDescent="0.25">
      <c r="A77" s="1" t="s">
        <v>193</v>
      </c>
      <c r="B77" s="7">
        <v>44936</v>
      </c>
      <c r="C77" s="24">
        <f>MONTH(Table4[[#This Row],[Ngày]])</f>
        <v>1</v>
      </c>
      <c r="D77" s="1" t="s">
        <v>15</v>
      </c>
      <c r="E77" s="1" t="s">
        <v>741</v>
      </c>
      <c r="G77" s="21" t="s">
        <v>843</v>
      </c>
    </row>
    <row r="78" spans="1:7" x14ac:dyDescent="0.25">
      <c r="A78" s="1" t="s">
        <v>194</v>
      </c>
      <c r="B78" s="7">
        <v>44936</v>
      </c>
      <c r="C78" s="24">
        <f>MONTH(Table4[[#This Row],[Ngày]])</f>
        <v>1</v>
      </c>
      <c r="D78" s="1" t="s">
        <v>15</v>
      </c>
      <c r="E78" s="1" t="s">
        <v>741</v>
      </c>
      <c r="G78" s="21" t="s">
        <v>844</v>
      </c>
    </row>
    <row r="79" spans="1:7" x14ac:dyDescent="0.25">
      <c r="A79" s="1" t="s">
        <v>195</v>
      </c>
      <c r="B79" s="7">
        <v>44936</v>
      </c>
      <c r="C79" s="24">
        <f>MONTH(Table4[[#This Row],[Ngày]])</f>
        <v>1</v>
      </c>
      <c r="D79" s="1" t="s">
        <v>15</v>
      </c>
      <c r="E79" s="1" t="s">
        <v>741</v>
      </c>
      <c r="G79" s="21" t="s">
        <v>845</v>
      </c>
    </row>
    <row r="80" spans="1:7" x14ac:dyDescent="0.25">
      <c r="A80" s="1" t="s">
        <v>196</v>
      </c>
      <c r="B80" s="7">
        <v>44936</v>
      </c>
      <c r="C80" s="24">
        <f>MONTH(Table4[[#This Row],[Ngày]])</f>
        <v>1</v>
      </c>
      <c r="D80" s="1" t="s">
        <v>15</v>
      </c>
      <c r="E80" s="1" t="s">
        <v>741</v>
      </c>
      <c r="G80" s="21" t="s">
        <v>846</v>
      </c>
    </row>
    <row r="81" spans="1:7" x14ac:dyDescent="0.25">
      <c r="A81" s="1" t="s">
        <v>197</v>
      </c>
      <c r="B81" s="7">
        <v>44936</v>
      </c>
      <c r="C81" s="24">
        <f>MONTH(Table4[[#This Row],[Ngày]])</f>
        <v>1</v>
      </c>
      <c r="D81" s="1" t="s">
        <v>15</v>
      </c>
      <c r="E81" s="1" t="s">
        <v>741</v>
      </c>
      <c r="G81" s="21" t="s">
        <v>847</v>
      </c>
    </row>
    <row r="82" spans="1:7" x14ac:dyDescent="0.25">
      <c r="A82" s="1" t="s">
        <v>198</v>
      </c>
      <c r="B82" s="7">
        <v>44936</v>
      </c>
      <c r="C82" s="24">
        <f>MONTH(Table4[[#This Row],[Ngày]])</f>
        <v>1</v>
      </c>
      <c r="D82" s="1" t="s">
        <v>15</v>
      </c>
      <c r="E82" s="1" t="s">
        <v>741</v>
      </c>
      <c r="G82" s="21" t="s">
        <v>848</v>
      </c>
    </row>
    <row r="83" spans="1:7" x14ac:dyDescent="0.25">
      <c r="A83" s="1" t="s">
        <v>199</v>
      </c>
      <c r="B83" s="7">
        <v>44936</v>
      </c>
      <c r="C83" s="24">
        <f>MONTH(Table4[[#This Row],[Ngày]])</f>
        <v>1</v>
      </c>
      <c r="D83" s="1" t="s">
        <v>15</v>
      </c>
      <c r="E83" s="1" t="s">
        <v>741</v>
      </c>
      <c r="G83" s="21" t="s">
        <v>849</v>
      </c>
    </row>
    <row r="84" spans="1:7" x14ac:dyDescent="0.25">
      <c r="A84" s="1" t="s">
        <v>101</v>
      </c>
      <c r="B84" s="7">
        <v>44984</v>
      </c>
      <c r="C84" s="24">
        <f>MONTH(Table4[[#This Row],[Ngày]])</f>
        <v>2</v>
      </c>
      <c r="D84" s="1" t="s">
        <v>16</v>
      </c>
      <c r="E84" s="1" t="s">
        <v>674</v>
      </c>
      <c r="G84" s="21" t="s">
        <v>826</v>
      </c>
    </row>
    <row r="85" spans="1:7" x14ac:dyDescent="0.25">
      <c r="A85" s="1" t="s">
        <v>112</v>
      </c>
      <c r="B85" s="7">
        <v>44971</v>
      </c>
      <c r="C85" s="24">
        <f>MONTH(Table4[[#This Row],[Ngày]])</f>
        <v>2</v>
      </c>
      <c r="D85" s="1" t="s">
        <v>16</v>
      </c>
      <c r="E85" s="1" t="s">
        <v>674</v>
      </c>
      <c r="G85" s="21" t="s">
        <v>827</v>
      </c>
    </row>
    <row r="86" spans="1:7" x14ac:dyDescent="0.25">
      <c r="A86" s="1" t="s">
        <v>122</v>
      </c>
      <c r="B86" s="7">
        <v>44975</v>
      </c>
      <c r="C86" s="24">
        <f>MONTH(Table4[[#This Row],[Ngày]])</f>
        <v>2</v>
      </c>
      <c r="D86" s="1" t="s">
        <v>16</v>
      </c>
      <c r="E86" s="1" t="s">
        <v>671</v>
      </c>
      <c r="G86" s="21" t="s">
        <v>828</v>
      </c>
    </row>
    <row r="87" spans="1:7" x14ac:dyDescent="0.25">
      <c r="A87" s="1" t="s">
        <v>137</v>
      </c>
      <c r="B87" s="7">
        <v>44983</v>
      </c>
      <c r="C87" s="24">
        <f>MONTH(Table4[[#This Row],[Ngày]])</f>
        <v>2</v>
      </c>
      <c r="D87" s="1" t="s">
        <v>16</v>
      </c>
      <c r="E87" s="1" t="s">
        <v>671</v>
      </c>
      <c r="F87" s="1" t="s">
        <v>789</v>
      </c>
      <c r="G87" s="21" t="s">
        <v>875</v>
      </c>
    </row>
    <row r="88" spans="1:7" x14ac:dyDescent="0.25">
      <c r="A88" s="1" t="s">
        <v>139</v>
      </c>
      <c r="B88" s="7">
        <v>44983</v>
      </c>
      <c r="C88" s="24">
        <f>MONTH(Table4[[#This Row],[Ngày]])</f>
        <v>2</v>
      </c>
      <c r="D88" s="1" t="s">
        <v>16</v>
      </c>
      <c r="E88" s="1" t="s">
        <v>671</v>
      </c>
      <c r="F88" s="1" t="s">
        <v>789</v>
      </c>
      <c r="G88" s="21" t="s">
        <v>876</v>
      </c>
    </row>
    <row r="89" spans="1:7" x14ac:dyDescent="0.25">
      <c r="A89" s="1" t="s">
        <v>138</v>
      </c>
      <c r="B89" s="7">
        <v>44983</v>
      </c>
      <c r="C89" s="24">
        <f>MONTH(Table4[[#This Row],[Ngày]])</f>
        <v>2</v>
      </c>
      <c r="D89" s="1" t="s">
        <v>16</v>
      </c>
      <c r="E89" s="1" t="s">
        <v>671</v>
      </c>
      <c r="F89" s="1" t="s">
        <v>789</v>
      </c>
      <c r="G89" s="21" t="s">
        <v>877</v>
      </c>
    </row>
    <row r="90" spans="1:7" x14ac:dyDescent="0.25">
      <c r="A90" s="1" t="s">
        <v>140</v>
      </c>
      <c r="B90" s="7">
        <v>44968</v>
      </c>
      <c r="C90" s="24">
        <f>MONTH(Table4[[#This Row],[Ngày]])</f>
        <v>2</v>
      </c>
      <c r="D90" s="1" t="s">
        <v>16</v>
      </c>
      <c r="E90" s="1" t="s">
        <v>674</v>
      </c>
      <c r="G90" s="21" t="s">
        <v>829</v>
      </c>
    </row>
    <row r="91" spans="1:7" x14ac:dyDescent="0.25">
      <c r="A91" s="1" t="s">
        <v>42</v>
      </c>
      <c r="B91" s="7">
        <v>44971</v>
      </c>
      <c r="C91" s="24">
        <f>MONTH(Table4[[#This Row],[Ngày]])</f>
        <v>2</v>
      </c>
      <c r="D91" s="1" t="s">
        <v>16</v>
      </c>
      <c r="E91" s="1" t="s">
        <v>674</v>
      </c>
      <c r="G91" s="21" t="s">
        <v>817</v>
      </c>
    </row>
    <row r="92" spans="1:7" x14ac:dyDescent="0.25">
      <c r="A92" s="1" t="s">
        <v>162</v>
      </c>
      <c r="B92" s="7">
        <v>44968</v>
      </c>
      <c r="C92" s="24">
        <f>MONTH(Table4[[#This Row],[Ngày]])</f>
        <v>2</v>
      </c>
      <c r="D92" s="1" t="s">
        <v>16</v>
      </c>
      <c r="E92" s="1" t="s">
        <v>673</v>
      </c>
      <c r="G92" s="21" t="s">
        <v>852</v>
      </c>
    </row>
    <row r="93" spans="1:7" x14ac:dyDescent="0.25">
      <c r="A93" s="1" t="s">
        <v>47</v>
      </c>
      <c r="B93" s="7">
        <v>44971</v>
      </c>
      <c r="C93" s="24">
        <f>MONTH(Table4[[#This Row],[Ngày]])</f>
        <v>2</v>
      </c>
      <c r="D93" s="1" t="s">
        <v>16</v>
      </c>
      <c r="E93" s="1" t="s">
        <v>674</v>
      </c>
      <c r="G93" s="21" t="s">
        <v>818</v>
      </c>
    </row>
    <row r="94" spans="1:7" x14ac:dyDescent="0.25">
      <c r="A94" s="1" t="s">
        <v>67</v>
      </c>
      <c r="B94" s="7">
        <v>44971</v>
      </c>
      <c r="C94" s="24">
        <f>MONTH(Table4[[#This Row],[Ngày]])</f>
        <v>2</v>
      </c>
      <c r="D94" s="1" t="s">
        <v>16</v>
      </c>
      <c r="E94" s="1" t="s">
        <v>679</v>
      </c>
      <c r="G94" s="21" t="s">
        <v>819</v>
      </c>
    </row>
    <row r="95" spans="1:7" x14ac:dyDescent="0.25">
      <c r="A95" s="1" t="s">
        <v>74</v>
      </c>
      <c r="B95" s="7">
        <v>44971</v>
      </c>
      <c r="C95" s="24">
        <f>MONTH(Table4[[#This Row],[Ngày]])</f>
        <v>2</v>
      </c>
      <c r="D95" s="1" t="s">
        <v>16</v>
      </c>
      <c r="E95" s="1" t="s">
        <v>674</v>
      </c>
      <c r="G95" s="21" t="s">
        <v>820</v>
      </c>
    </row>
    <row r="96" spans="1:7" x14ac:dyDescent="0.25">
      <c r="A96" s="1" t="s">
        <v>77</v>
      </c>
      <c r="B96" s="7">
        <v>44975</v>
      </c>
      <c r="C96" s="24">
        <f>MONTH(Table4[[#This Row],[Ngày]])</f>
        <v>2</v>
      </c>
      <c r="D96" s="1" t="s">
        <v>16</v>
      </c>
      <c r="E96" s="1" t="s">
        <v>671</v>
      </c>
      <c r="G96" s="21" t="s">
        <v>821</v>
      </c>
    </row>
    <row r="97" spans="1:7" x14ac:dyDescent="0.25">
      <c r="A97" s="1" t="s">
        <v>80</v>
      </c>
      <c r="B97" s="7">
        <v>44971</v>
      </c>
      <c r="C97" s="24">
        <f>MONTH(Table4[[#This Row],[Ngày]])</f>
        <v>2</v>
      </c>
      <c r="D97" s="1" t="s">
        <v>16</v>
      </c>
      <c r="E97" s="1" t="s">
        <v>674</v>
      </c>
      <c r="G97" s="21" t="s">
        <v>822</v>
      </c>
    </row>
    <row r="98" spans="1:7" x14ac:dyDescent="0.25">
      <c r="A98" s="1" t="s">
        <v>82</v>
      </c>
      <c r="B98" s="7">
        <v>44971</v>
      </c>
      <c r="C98" s="24">
        <f>MONTH(Table4[[#This Row],[Ngày]])</f>
        <v>2</v>
      </c>
      <c r="D98" s="1" t="s">
        <v>16</v>
      </c>
      <c r="E98" s="1" t="s">
        <v>679</v>
      </c>
      <c r="G98" s="21" t="s">
        <v>823</v>
      </c>
    </row>
    <row r="99" spans="1:7" x14ac:dyDescent="0.25">
      <c r="A99" s="1" t="s">
        <v>86</v>
      </c>
      <c r="B99" s="7">
        <v>44964</v>
      </c>
      <c r="C99" s="24">
        <f>MONTH(Table4[[#This Row],[Ngày]])</f>
        <v>2</v>
      </c>
      <c r="D99" s="1" t="s">
        <v>16</v>
      </c>
      <c r="E99" s="1" t="s">
        <v>673</v>
      </c>
      <c r="G99" s="21" t="s">
        <v>824</v>
      </c>
    </row>
    <row r="100" spans="1:7" x14ac:dyDescent="0.25">
      <c r="A100" s="1" t="s">
        <v>94</v>
      </c>
      <c r="B100" s="7">
        <v>44968</v>
      </c>
      <c r="C100" s="24">
        <f>MONTH(Table4[[#This Row],[Ngày]])</f>
        <v>2</v>
      </c>
      <c r="D100" s="1" t="s">
        <v>16</v>
      </c>
      <c r="E100" s="1" t="s">
        <v>674</v>
      </c>
      <c r="G100" s="21" t="s">
        <v>825</v>
      </c>
    </row>
    <row r="101" spans="1:7" x14ac:dyDescent="0.25">
      <c r="A101" s="1" t="s">
        <v>137</v>
      </c>
      <c r="B101" s="7">
        <v>44958</v>
      </c>
      <c r="C101" s="24">
        <f>MONTH(Table4[[#This Row],[Ngày]])</f>
        <v>2</v>
      </c>
      <c r="D101" s="1" t="s">
        <v>15</v>
      </c>
      <c r="E101" s="1" t="s">
        <v>781</v>
      </c>
      <c r="G101" s="21" t="s">
        <v>853</v>
      </c>
    </row>
    <row r="102" spans="1:7" x14ac:dyDescent="0.25">
      <c r="A102" s="1" t="s">
        <v>139</v>
      </c>
      <c r="B102" s="7">
        <v>44958</v>
      </c>
      <c r="C102" s="24">
        <f>MONTH(Table4[[#This Row],[Ngày]])</f>
        <v>2</v>
      </c>
      <c r="D102" s="1" t="s">
        <v>15</v>
      </c>
      <c r="E102" s="1" t="s">
        <v>781</v>
      </c>
      <c r="G102" s="21" t="s">
        <v>854</v>
      </c>
    </row>
    <row r="103" spans="1:7" x14ac:dyDescent="0.25">
      <c r="A103" s="1" t="s">
        <v>138</v>
      </c>
      <c r="B103" s="7">
        <v>44958</v>
      </c>
      <c r="C103" s="24">
        <f>MONTH(Table4[[#This Row],[Ngày]])</f>
        <v>2</v>
      </c>
      <c r="D103" s="1" t="s">
        <v>15</v>
      </c>
      <c r="E103" s="1" t="s">
        <v>781</v>
      </c>
      <c r="G103" s="21" t="s">
        <v>855</v>
      </c>
    </row>
    <row r="104" spans="1:7" x14ac:dyDescent="0.25">
      <c r="A104" s="1" t="s">
        <v>140</v>
      </c>
      <c r="B104" s="7">
        <v>44958</v>
      </c>
      <c r="C104" s="24">
        <f>MONTH(Table4[[#This Row],[Ngày]])</f>
        <v>2</v>
      </c>
      <c r="D104" s="1" t="s">
        <v>15</v>
      </c>
      <c r="E104" s="1" t="s">
        <v>738</v>
      </c>
      <c r="G104" s="21" t="s">
        <v>829</v>
      </c>
    </row>
    <row r="105" spans="1:7" x14ac:dyDescent="0.25">
      <c r="A105" s="1" t="s">
        <v>102</v>
      </c>
      <c r="B105" s="7">
        <v>44959</v>
      </c>
      <c r="C105" s="24">
        <f>MONTH(Table4[[#This Row],[Ngày]])</f>
        <v>2</v>
      </c>
      <c r="D105" s="1" t="s">
        <v>731</v>
      </c>
      <c r="E105" s="1" t="s">
        <v>675</v>
      </c>
      <c r="F105" s="1" t="s">
        <v>733</v>
      </c>
      <c r="G105" s="25" t="s">
        <v>864</v>
      </c>
    </row>
    <row r="106" spans="1:7" x14ac:dyDescent="0.25">
      <c r="A106" s="1" t="s">
        <v>156</v>
      </c>
      <c r="B106" s="7">
        <v>44963</v>
      </c>
      <c r="C106" s="24">
        <f>MONTH(Table4[[#This Row],[Ngày]])</f>
        <v>2</v>
      </c>
      <c r="D106" s="1" t="s">
        <v>731</v>
      </c>
      <c r="E106" s="1" t="s">
        <v>671</v>
      </c>
      <c r="F106" s="1" t="s">
        <v>755</v>
      </c>
      <c r="G106" s="21" t="s">
        <v>830</v>
      </c>
    </row>
    <row r="107" spans="1:7" x14ac:dyDescent="0.25">
      <c r="A107" s="1" t="s">
        <v>156</v>
      </c>
      <c r="B107" s="7">
        <v>44970</v>
      </c>
      <c r="C107" s="24">
        <f>MONTH(Table4[[#This Row],[Ngày]])</f>
        <v>2</v>
      </c>
      <c r="D107" s="1" t="s">
        <v>731</v>
      </c>
      <c r="E107" s="1" t="s">
        <v>671</v>
      </c>
      <c r="F107" s="1" t="s">
        <v>762</v>
      </c>
      <c r="G107" s="21" t="s">
        <v>831</v>
      </c>
    </row>
    <row r="108" spans="1:7" x14ac:dyDescent="0.25">
      <c r="A108" s="1" t="s">
        <v>77</v>
      </c>
      <c r="B108" s="7">
        <v>44959</v>
      </c>
      <c r="C108" s="24">
        <f>MONTH(Table4[[#This Row],[Ngày]])</f>
        <v>2</v>
      </c>
      <c r="D108" s="1" t="s">
        <v>731</v>
      </c>
      <c r="E108" s="1" t="s">
        <v>671</v>
      </c>
      <c r="F108" s="1" t="s">
        <v>732</v>
      </c>
      <c r="G108" s="25" t="s">
        <v>864</v>
      </c>
    </row>
    <row r="109" spans="1:7" x14ac:dyDescent="0.25">
      <c r="A109" s="1" t="s">
        <v>91</v>
      </c>
      <c r="B109" s="7">
        <v>44971</v>
      </c>
      <c r="C109" s="24">
        <f>MONTH(Table4[[#This Row],[Ngày]])</f>
        <v>2</v>
      </c>
      <c r="D109" s="1" t="s">
        <v>731</v>
      </c>
      <c r="E109" s="1" t="s">
        <v>674</v>
      </c>
      <c r="F109" s="1" t="s">
        <v>754</v>
      </c>
      <c r="G109" s="21" t="s">
        <v>832</v>
      </c>
    </row>
    <row r="110" spans="1:7" x14ac:dyDescent="0.25">
      <c r="A110" s="1" t="s">
        <v>275</v>
      </c>
      <c r="B110" s="7">
        <v>44972</v>
      </c>
      <c r="C110" s="24">
        <f>MONTH(Table4[[#This Row],[Ngày]])</f>
        <v>2</v>
      </c>
      <c r="D110" s="1" t="s">
        <v>761</v>
      </c>
      <c r="E110" s="1" t="s">
        <v>671</v>
      </c>
      <c r="F110" s="1" t="s">
        <v>757</v>
      </c>
      <c r="G110" s="21" t="s">
        <v>833</v>
      </c>
    </row>
    <row r="111" spans="1:7" x14ac:dyDescent="0.25">
      <c r="A111" s="1" t="s">
        <v>91</v>
      </c>
      <c r="B111" s="7">
        <v>44978</v>
      </c>
      <c r="C111" s="24">
        <f>MONTH(Table4[[#This Row],[Ngày]])</f>
        <v>2</v>
      </c>
      <c r="D111" s="1" t="s">
        <v>761</v>
      </c>
      <c r="E111" s="1" t="s">
        <v>758</v>
      </c>
      <c r="F111" s="1" t="s">
        <v>764</v>
      </c>
      <c r="G111" s="21" t="s">
        <v>836</v>
      </c>
    </row>
    <row r="112" spans="1:7" x14ac:dyDescent="0.25">
      <c r="A112" s="1" t="s">
        <v>94</v>
      </c>
      <c r="B112" s="7">
        <v>44972</v>
      </c>
      <c r="C112" s="24">
        <f>MONTH(Table4[[#This Row],[Ngày]])</f>
        <v>2</v>
      </c>
      <c r="D112" s="1" t="s">
        <v>761</v>
      </c>
      <c r="E112" s="1" t="s">
        <v>671</v>
      </c>
      <c r="F112" s="1" t="s">
        <v>756</v>
      </c>
      <c r="G112" s="21" t="s">
        <v>833</v>
      </c>
    </row>
    <row r="113" spans="1:7" x14ac:dyDescent="0.25">
      <c r="A113" s="1" t="s">
        <v>94</v>
      </c>
      <c r="B113" s="7">
        <v>44972</v>
      </c>
      <c r="C113" s="24">
        <f>MONTH(Table4[[#This Row],[Ngày]])</f>
        <v>2</v>
      </c>
      <c r="D113" s="1" t="s">
        <v>761</v>
      </c>
      <c r="E113" s="1" t="s">
        <v>671</v>
      </c>
      <c r="F113" s="1" t="s">
        <v>757</v>
      </c>
      <c r="G113" s="21" t="s">
        <v>833</v>
      </c>
    </row>
    <row r="114" spans="1:7" x14ac:dyDescent="0.25">
      <c r="B114" s="7">
        <v>44979</v>
      </c>
      <c r="C114" s="24">
        <f>MONTH(Table4[[#This Row],[Ngày]])</f>
        <v>2</v>
      </c>
      <c r="D114" s="1" t="s">
        <v>865</v>
      </c>
      <c r="E114" s="1" t="s">
        <v>671</v>
      </c>
      <c r="F114" s="1" t="s">
        <v>866</v>
      </c>
      <c r="G114" s="21" t="s">
        <v>867</v>
      </c>
    </row>
    <row r="115" spans="1:7" x14ac:dyDescent="0.25">
      <c r="A115" s="1" t="s">
        <v>144</v>
      </c>
      <c r="B115" s="7">
        <v>44980</v>
      </c>
      <c r="C115" s="24">
        <f>MONTH(Table4[[#This Row],[Ngày]])</f>
        <v>2</v>
      </c>
      <c r="D115" s="1" t="s">
        <v>28</v>
      </c>
      <c r="E115" s="1" t="s">
        <v>673</v>
      </c>
      <c r="G115" s="21" t="s">
        <v>850</v>
      </c>
    </row>
    <row r="116" spans="1:7" x14ac:dyDescent="0.25">
      <c r="A116" s="1" t="s">
        <v>145</v>
      </c>
      <c r="B116" s="7">
        <v>44980</v>
      </c>
      <c r="C116" s="24">
        <f>MONTH(Table4[[#This Row],[Ngày]])</f>
        <v>2</v>
      </c>
      <c r="D116" s="1" t="s">
        <v>28</v>
      </c>
      <c r="E116" s="1" t="s">
        <v>673</v>
      </c>
      <c r="G116" s="21" t="s">
        <v>851</v>
      </c>
    </row>
    <row r="117" spans="1:7" x14ac:dyDescent="0.25">
      <c r="A117" s="1" t="s">
        <v>102</v>
      </c>
      <c r="B117" s="7">
        <v>44959</v>
      </c>
      <c r="C117" s="24">
        <f>MONTH(Table4[[#This Row],[Ngày]])</f>
        <v>2</v>
      </c>
      <c r="D117" s="1" t="s">
        <v>730</v>
      </c>
      <c r="E117" s="1" t="s">
        <v>740</v>
      </c>
      <c r="F117" s="1" t="s">
        <v>735</v>
      </c>
      <c r="G117" s="25" t="s">
        <v>864</v>
      </c>
    </row>
    <row r="118" spans="1:7" x14ac:dyDescent="0.25">
      <c r="A118" s="1" t="s">
        <v>156</v>
      </c>
      <c r="B118" s="7">
        <v>44971</v>
      </c>
      <c r="C118" s="24">
        <f>MONTH(Table4[[#This Row],[Ngày]])</f>
        <v>2</v>
      </c>
      <c r="D118" s="1" t="s">
        <v>730</v>
      </c>
      <c r="E118" s="1" t="s">
        <v>790</v>
      </c>
      <c r="F118" s="1" t="s">
        <v>763</v>
      </c>
    </row>
    <row r="119" spans="1:7" x14ac:dyDescent="0.25">
      <c r="A119" s="1" t="s">
        <v>156</v>
      </c>
      <c r="B119" s="7">
        <v>44972</v>
      </c>
      <c r="C119" s="24">
        <f>MONTH(Table4[[#This Row],[Ngày]])</f>
        <v>2</v>
      </c>
      <c r="D119" s="1" t="s">
        <v>730</v>
      </c>
      <c r="E119" s="1" t="s">
        <v>790</v>
      </c>
      <c r="F119" s="1" t="s">
        <v>763</v>
      </c>
      <c r="G119" s="21" t="s">
        <v>835</v>
      </c>
    </row>
    <row r="120" spans="1:7" x14ac:dyDescent="0.25">
      <c r="A120" s="1" t="s">
        <v>77</v>
      </c>
      <c r="B120" s="7">
        <v>44959</v>
      </c>
      <c r="C120" s="24">
        <f>MONTH(Table4[[#This Row],[Ngày]])</f>
        <v>2</v>
      </c>
      <c r="D120" s="1" t="s">
        <v>730</v>
      </c>
      <c r="E120" s="1" t="s">
        <v>739</v>
      </c>
      <c r="F120" s="1" t="s">
        <v>734</v>
      </c>
      <c r="G120" s="25" t="s">
        <v>864</v>
      </c>
    </row>
    <row r="121" spans="1:7" x14ac:dyDescent="0.25">
      <c r="A121" s="1" t="s">
        <v>91</v>
      </c>
      <c r="B121" s="7">
        <v>44972</v>
      </c>
      <c r="C121" s="24">
        <f>MONTH(Table4[[#This Row],[Ngày]])</f>
        <v>2</v>
      </c>
      <c r="D121" s="1" t="s">
        <v>730</v>
      </c>
      <c r="E121" s="1" t="s">
        <v>758</v>
      </c>
      <c r="F121" s="1" t="s">
        <v>759</v>
      </c>
      <c r="G121" s="21" t="s">
        <v>834</v>
      </c>
    </row>
    <row r="122" spans="1:7" x14ac:dyDescent="0.25">
      <c r="A122" s="1" t="s">
        <v>273</v>
      </c>
      <c r="B122" s="7">
        <v>44996</v>
      </c>
      <c r="C122" s="24">
        <f>MONTH(Table4[[#This Row],[Ngày]])</f>
        <v>3</v>
      </c>
      <c r="D122" s="1" t="s">
        <v>17</v>
      </c>
      <c r="E122" s="1" t="s">
        <v>780</v>
      </c>
      <c r="G122" s="1" t="s">
        <v>874</v>
      </c>
    </row>
    <row r="123" spans="1:7" x14ac:dyDescent="0.25">
      <c r="A123" s="1" t="s">
        <v>274</v>
      </c>
      <c r="B123" s="7">
        <v>44996</v>
      </c>
      <c r="C123" s="24">
        <f>MONTH(Table4[[#This Row],[Ngày]])</f>
        <v>3</v>
      </c>
      <c r="D123" s="1" t="s">
        <v>17</v>
      </c>
      <c r="E123" s="1" t="s">
        <v>780</v>
      </c>
      <c r="G123" s="1" t="s">
        <v>874</v>
      </c>
    </row>
    <row r="124" spans="1:7" x14ac:dyDescent="0.25">
      <c r="A124" s="1" t="s">
        <v>279</v>
      </c>
      <c r="B124" s="7">
        <v>44996</v>
      </c>
      <c r="C124" s="24">
        <f>MONTH(Table4[[#This Row],[Ngày]])</f>
        <v>3</v>
      </c>
      <c r="D124" s="1" t="s">
        <v>17</v>
      </c>
      <c r="E124" s="1" t="s">
        <v>780</v>
      </c>
      <c r="G124" s="1" t="s">
        <v>874</v>
      </c>
    </row>
    <row r="125" spans="1:7" x14ac:dyDescent="0.25">
      <c r="A125" s="1" t="s">
        <v>779</v>
      </c>
      <c r="B125" s="7">
        <v>44996</v>
      </c>
      <c r="C125" s="24">
        <f>MONTH(Table4[[#This Row],[Ngày]])</f>
        <v>3</v>
      </c>
      <c r="D125" s="1" t="s">
        <v>17</v>
      </c>
      <c r="E125" s="1" t="s">
        <v>780</v>
      </c>
      <c r="G125" s="1" t="s">
        <v>874</v>
      </c>
    </row>
    <row r="126" spans="1:7" x14ac:dyDescent="0.25">
      <c r="A126" s="1" t="s">
        <v>34</v>
      </c>
      <c r="B126" s="7">
        <v>44996</v>
      </c>
      <c r="C126" s="24">
        <f>MONTH(Table4[[#This Row],[Ngày]])</f>
        <v>3</v>
      </c>
      <c r="D126" s="1" t="s">
        <v>17</v>
      </c>
      <c r="E126" s="1" t="s">
        <v>780</v>
      </c>
      <c r="G126" s="20" t="s">
        <v>856</v>
      </c>
    </row>
    <row r="127" spans="1:7" x14ac:dyDescent="0.25">
      <c r="A127" s="1" t="s">
        <v>36</v>
      </c>
      <c r="B127" s="7">
        <v>44996</v>
      </c>
      <c r="C127" s="24">
        <f>MONTH(Table4[[#This Row],[Ngày]])</f>
        <v>3</v>
      </c>
      <c r="D127" s="1" t="s">
        <v>17</v>
      </c>
      <c r="E127" s="1" t="s">
        <v>780</v>
      </c>
      <c r="G127" s="20" t="s">
        <v>857</v>
      </c>
    </row>
    <row r="128" spans="1:7" x14ac:dyDescent="0.25">
      <c r="A128" s="1" t="s">
        <v>139</v>
      </c>
      <c r="B128" s="7">
        <v>44996</v>
      </c>
      <c r="C128" s="24">
        <f>MONTH(Table4[[#This Row],[Ngày]])</f>
        <v>3</v>
      </c>
      <c r="D128" s="1" t="s">
        <v>17</v>
      </c>
      <c r="E128" s="1" t="s">
        <v>780</v>
      </c>
      <c r="G128" s="1" t="s">
        <v>874</v>
      </c>
    </row>
    <row r="129" spans="1:7" x14ac:dyDescent="0.25">
      <c r="A129" s="1" t="s">
        <v>138</v>
      </c>
      <c r="B129" s="7">
        <v>44996</v>
      </c>
      <c r="C129" s="24">
        <f>MONTH(Table4[[#This Row],[Ngày]])</f>
        <v>3</v>
      </c>
      <c r="D129" s="1" t="s">
        <v>17</v>
      </c>
      <c r="E129" s="1" t="s">
        <v>780</v>
      </c>
      <c r="G129" s="1" t="s">
        <v>874</v>
      </c>
    </row>
    <row r="130" spans="1:7" x14ac:dyDescent="0.25">
      <c r="A130" s="1" t="s">
        <v>43</v>
      </c>
      <c r="B130" s="7">
        <v>44996</v>
      </c>
      <c r="C130" s="24">
        <f>MONTH(Table4[[#This Row],[Ngày]])</f>
        <v>3</v>
      </c>
      <c r="D130" s="1" t="s">
        <v>17</v>
      </c>
      <c r="E130" s="1" t="s">
        <v>780</v>
      </c>
      <c r="G130" s="20" t="s">
        <v>858</v>
      </c>
    </row>
    <row r="131" spans="1:7" x14ac:dyDescent="0.25">
      <c r="A131" s="1" t="s">
        <v>62</v>
      </c>
      <c r="B131" s="7">
        <v>44996</v>
      </c>
      <c r="C131" s="24">
        <f>MONTH(Table4[[#This Row],[Ngày]])</f>
        <v>3</v>
      </c>
      <c r="D131" s="1" t="s">
        <v>17</v>
      </c>
      <c r="E131" s="1" t="s">
        <v>780</v>
      </c>
      <c r="G131" s="20" t="s">
        <v>859</v>
      </c>
    </row>
    <row r="132" spans="1:7" x14ac:dyDescent="0.25">
      <c r="A132" s="1" t="s">
        <v>73</v>
      </c>
      <c r="B132" s="7">
        <v>44996</v>
      </c>
      <c r="C132" s="24">
        <f>MONTH(Table4[[#This Row],[Ngày]])</f>
        <v>3</v>
      </c>
      <c r="D132" s="1" t="s">
        <v>17</v>
      </c>
      <c r="E132" s="1" t="s">
        <v>780</v>
      </c>
      <c r="G132" s="20" t="s">
        <v>860</v>
      </c>
    </row>
    <row r="133" spans="1:7" x14ac:dyDescent="0.25">
      <c r="A133" s="1" t="s">
        <v>75</v>
      </c>
      <c r="B133" s="7">
        <v>44996</v>
      </c>
      <c r="C133" s="24">
        <f>MONTH(Table4[[#This Row],[Ngày]])</f>
        <v>3</v>
      </c>
      <c r="D133" s="1" t="s">
        <v>17</v>
      </c>
      <c r="E133" s="1" t="s">
        <v>780</v>
      </c>
      <c r="G133" s="1" t="s">
        <v>874</v>
      </c>
    </row>
    <row r="134" spans="1:7" x14ac:dyDescent="0.25">
      <c r="A134" s="1" t="s">
        <v>89</v>
      </c>
      <c r="B134" s="7">
        <v>44996</v>
      </c>
      <c r="C134" s="24">
        <f>MONTH(Table4[[#This Row],[Ngày]])</f>
        <v>3</v>
      </c>
      <c r="D134" s="1" t="s">
        <v>17</v>
      </c>
      <c r="E134" s="1" t="s">
        <v>780</v>
      </c>
      <c r="G134" s="21" t="s">
        <v>861</v>
      </c>
    </row>
    <row r="135" spans="1:7" x14ac:dyDescent="0.25">
      <c r="A135" s="1" t="s">
        <v>96</v>
      </c>
      <c r="B135" s="7">
        <v>44996</v>
      </c>
      <c r="C135" s="24">
        <f>MONTH(Table4[[#This Row],[Ngày]])</f>
        <v>3</v>
      </c>
      <c r="D135" s="1" t="s">
        <v>17</v>
      </c>
      <c r="E135" s="1" t="s">
        <v>780</v>
      </c>
      <c r="G135" s="21" t="s">
        <v>862</v>
      </c>
    </row>
    <row r="136" spans="1:7" x14ac:dyDescent="0.25">
      <c r="A136" s="1" t="s">
        <v>394</v>
      </c>
      <c r="B136" s="7">
        <v>44987</v>
      </c>
      <c r="C136" s="24">
        <f>MONTH(Table4[[#This Row],[Ngày]])</f>
        <v>3</v>
      </c>
      <c r="D136" s="1" t="s">
        <v>776</v>
      </c>
      <c r="E136" s="1" t="s">
        <v>778</v>
      </c>
      <c r="F136" s="1" t="s">
        <v>777</v>
      </c>
      <c r="G136" s="1" t="s">
        <v>874</v>
      </c>
    </row>
    <row r="137" spans="1:7" x14ac:dyDescent="0.25">
      <c r="A137" s="1" t="s">
        <v>694</v>
      </c>
      <c r="B137" s="7">
        <v>44987</v>
      </c>
      <c r="C137" s="24">
        <f>MONTH(Table4[[#This Row],[Ngày]])</f>
        <v>3</v>
      </c>
      <c r="D137" s="1" t="s">
        <v>776</v>
      </c>
      <c r="E137" s="1" t="s">
        <v>778</v>
      </c>
      <c r="F137" s="1" t="s">
        <v>777</v>
      </c>
      <c r="G137" s="1" t="s">
        <v>874</v>
      </c>
    </row>
    <row r="138" spans="1:7" x14ac:dyDescent="0.25">
      <c r="A138" s="14" t="s">
        <v>873</v>
      </c>
      <c r="B138" s="7">
        <v>45009</v>
      </c>
      <c r="C138" s="24">
        <f>MONTH(Table4[[#This Row],[Ngày]])</f>
        <v>3</v>
      </c>
      <c r="D138" s="1" t="s">
        <v>868</v>
      </c>
      <c r="E138" s="1" t="s">
        <v>671</v>
      </c>
      <c r="F138" s="1" t="s">
        <v>869</v>
      </c>
      <c r="G138" s="21" t="s">
        <v>870</v>
      </c>
    </row>
    <row r="139" spans="1:7" x14ac:dyDescent="0.25">
      <c r="A139" s="1" t="s">
        <v>871</v>
      </c>
      <c r="B139" s="7">
        <v>44999</v>
      </c>
      <c r="C139" s="24">
        <f>MONTH(Table4[[#This Row],[Ngày]])</f>
        <v>3</v>
      </c>
      <c r="D139" s="1" t="s">
        <v>868</v>
      </c>
      <c r="E139" s="1" t="s">
        <v>671</v>
      </c>
      <c r="F139" s="1" t="s">
        <v>869</v>
      </c>
      <c r="G139" s="21" t="s">
        <v>872</v>
      </c>
    </row>
    <row r="140" spans="1:7" x14ac:dyDescent="0.25">
      <c r="A140" s="1" t="s">
        <v>394</v>
      </c>
      <c r="B140" s="7">
        <v>45009</v>
      </c>
      <c r="C140" s="24">
        <f>MONTH(Table4[[#This Row],[Ngày]])</f>
        <v>3</v>
      </c>
      <c r="D140" s="1" t="s">
        <v>838</v>
      </c>
      <c r="E140" s="1" t="s">
        <v>778</v>
      </c>
      <c r="F140" s="1" t="s">
        <v>837</v>
      </c>
      <c r="G140" s="1" t="s">
        <v>874</v>
      </c>
    </row>
    <row r="141" spans="1:7" x14ac:dyDescent="0.25">
      <c r="A141" s="1" t="s">
        <v>694</v>
      </c>
      <c r="B141" s="7">
        <v>45009</v>
      </c>
      <c r="C141" s="24">
        <f>MONTH(Table4[[#This Row],[Ngày]])</f>
        <v>3</v>
      </c>
      <c r="D141" s="1" t="s">
        <v>838</v>
      </c>
      <c r="E141" s="1" t="s">
        <v>778</v>
      </c>
      <c r="F141" s="1" t="s">
        <v>837</v>
      </c>
      <c r="G141" s="1" t="s">
        <v>874</v>
      </c>
    </row>
    <row r="142" spans="1:7" x14ac:dyDescent="0.25">
      <c r="A142" s="1" t="s">
        <v>147</v>
      </c>
      <c r="B142" s="7">
        <v>45027</v>
      </c>
      <c r="C142" s="24">
        <f>MONTH(Table4[[#This Row],[Ngày]])</f>
        <v>4</v>
      </c>
      <c r="D142" s="1" t="s">
        <v>878</v>
      </c>
      <c r="E142" s="1" t="s">
        <v>879</v>
      </c>
      <c r="F142" s="1" t="s">
        <v>880</v>
      </c>
      <c r="G142" s="21" t="s">
        <v>881</v>
      </c>
    </row>
  </sheetData>
  <phoneticPr fontId="3" type="noConversion"/>
  <conditionalFormatting sqref="G2:G142">
    <cfRule type="cellIs" dxfId="36" priority="1" operator="equal">
      <formula>"Thiếu"</formula>
    </cfRule>
  </conditionalFormatting>
  <hyperlinks>
    <hyperlink ref="G63" r:id="rId1" xr:uid="{F4949243-2285-4258-9B2E-945D374EDFAD}"/>
    <hyperlink ref="G83" r:id="rId2" xr:uid="{EBBDE3F1-B701-4E3D-9607-2E85B9B0CA22}"/>
    <hyperlink ref="G82" r:id="rId3" xr:uid="{FF307B64-6260-4C93-ADA2-77DB6D671DAC}"/>
    <hyperlink ref="G77" r:id="rId4" xr:uid="{88E3BF15-8CC7-4944-8116-A0D2ED0B6588}"/>
    <hyperlink ref="G78" r:id="rId5" xr:uid="{C1D2232A-69B6-4866-8DDA-49E438B392A7}"/>
    <hyperlink ref="G71" r:id="rId6" xr:uid="{25427205-A712-4468-B22C-79ACB1EE5A64}"/>
    <hyperlink ref="G72" r:id="rId7" xr:uid="{0F2AA410-FA90-423A-AEA7-13FB6167E987}"/>
    <hyperlink ref="G74" r:id="rId8" xr:uid="{25A11EC4-A3DE-46DD-9D06-F5B58A83B996}"/>
    <hyperlink ref="G79" r:id="rId9" xr:uid="{BF74F794-0989-4B23-9323-41B45A985E96}"/>
    <hyperlink ref="G75" r:id="rId10" xr:uid="{8EF3BBF7-ED03-4A95-AEE7-EF0226857727}"/>
    <hyperlink ref="G80" r:id="rId11" xr:uid="{5001A8BD-E6D1-460C-837F-7074111589D4}"/>
    <hyperlink ref="G73" r:id="rId12" xr:uid="{63C2A466-A20D-4B85-983C-38AF31CF0728}"/>
    <hyperlink ref="G76" r:id="rId13" xr:uid="{279D4D8E-1D99-415F-9435-1B36251B234C}"/>
    <hyperlink ref="G81" r:id="rId14" xr:uid="{25E4444F-F87D-4E4B-9344-04DCF72049A9}"/>
    <hyperlink ref="G109" r:id="rId15" xr:uid="{225D9860-A113-4EB7-9F47-C424EAD47871}"/>
    <hyperlink ref="G112" r:id="rId16" xr:uid="{D0664C9F-54EC-4D0F-98F6-FAFCEB1AB3C9}"/>
    <hyperlink ref="G113" r:id="rId17" xr:uid="{A7EE357E-DBB8-46A6-81E7-6BAFA7CBFAFD}"/>
    <hyperlink ref="G110" r:id="rId18" xr:uid="{8494BB7A-DF25-4E7C-A9BC-3FC6046D3D0F}"/>
    <hyperlink ref="G106" r:id="rId19" xr:uid="{03238EA0-4C44-475D-843D-B2D608B23003}"/>
    <hyperlink ref="G107" r:id="rId20" xr:uid="{3E631111-13E7-4EE4-AB48-830649A25BC1}"/>
    <hyperlink ref="G121" r:id="rId21" xr:uid="{F065D833-EED2-49EF-99E2-FF200C5C9E88}"/>
    <hyperlink ref="G70" r:id="rId22" xr:uid="{BF9CACD0-3DD7-42E5-9835-E0C3615AA70A}"/>
    <hyperlink ref="G119" r:id="rId23" xr:uid="{BFC7DB34-A329-4F8B-BC02-BE71DF491083}"/>
    <hyperlink ref="G111" r:id="rId24" xr:uid="{F6F88EAF-DDDB-4312-809B-4EDF9D8F6139}"/>
    <hyperlink ref="G5" r:id="rId25" xr:uid="{CDE8EDFB-DACC-4350-9B4D-4618D595952A}"/>
    <hyperlink ref="G6" r:id="rId26" xr:uid="{C2E9FAE4-CA94-4B98-86F4-809020A45013}"/>
    <hyperlink ref="G10" r:id="rId27" xr:uid="{2893D946-1325-4C23-A2AA-0B92331668F1}"/>
    <hyperlink ref="G23" r:id="rId28" xr:uid="{B6D420FE-0A0F-4872-ACBC-F0EEAA97EB77}"/>
    <hyperlink ref="G24" r:id="rId29" xr:uid="{E5C808B6-918A-452F-9157-1D35CCD50C6D}"/>
    <hyperlink ref="G25" r:id="rId30" xr:uid="{5B4FF41A-922E-45A2-BC48-FBD10BC10164}"/>
    <hyperlink ref="G26" r:id="rId31" xr:uid="{78F56306-F916-459E-9236-01E06057DE7E}"/>
    <hyperlink ref="G27" r:id="rId32" xr:uid="{55B0C596-08FF-4CC6-B6D6-4E4EB9B88FDF}"/>
    <hyperlink ref="G28" r:id="rId33" xr:uid="{2B15822D-77F9-4C4C-8B85-851BB6D04B75}"/>
    <hyperlink ref="G29" r:id="rId34" xr:uid="{97967520-A853-4C89-A4AF-DC76F675C135}"/>
    <hyperlink ref="G30" r:id="rId35" xr:uid="{5E54A346-6094-4627-B07B-3AAF8FC0CE17}"/>
    <hyperlink ref="G7" r:id="rId36" xr:uid="{BB89ACDA-5EFF-477B-B5AD-85FC46DF5D0C}"/>
    <hyperlink ref="G8" r:id="rId37" xr:uid="{159F0669-0AEF-45BC-A7B7-2B78BAA8AD33}"/>
    <hyperlink ref="G9" r:id="rId38" xr:uid="{B4A5C23A-784E-4B89-A9DF-2D98B917A1DD}"/>
    <hyperlink ref="G11" r:id="rId39" xr:uid="{104D9172-4522-460E-AE1B-E7960AEE4365}"/>
    <hyperlink ref="G12" r:id="rId40" xr:uid="{120EC42A-AB00-4EE5-A347-695E5CD83DCF}"/>
    <hyperlink ref="G13" r:id="rId41" xr:uid="{9AB2139A-D9F6-4071-9B11-65FA8F157F15}"/>
    <hyperlink ref="G14" r:id="rId42" xr:uid="{C1CF266C-8350-4029-B126-89DF0E94E972}"/>
    <hyperlink ref="G15" r:id="rId43" xr:uid="{97476B47-9531-45B5-A97D-F8C0331F12E6}"/>
    <hyperlink ref="G16" r:id="rId44" xr:uid="{FEA41705-38DE-49A7-A9D6-B16F6603AF1D}"/>
    <hyperlink ref="G17" r:id="rId45" xr:uid="{E1AB9DE4-210B-4554-909D-6082AD67E6CC}"/>
    <hyperlink ref="G18" r:id="rId46" xr:uid="{2CCC57C9-2967-4038-958E-AF65A74BF6B2}"/>
    <hyperlink ref="G19" r:id="rId47" xr:uid="{E956BA5A-08D3-4340-A515-4DE0040173C6}"/>
    <hyperlink ref="G20" r:id="rId48" xr:uid="{13AE47DD-A93E-4BAB-ABC9-44EDF086CD10}"/>
    <hyperlink ref="G21" r:id="rId49" xr:uid="{A0AF75E7-7D39-4BCA-B120-D60A62CC9F9A}"/>
    <hyperlink ref="G22" r:id="rId50" xr:uid="{BB91B906-177B-4DF5-A7EC-8AD1409A157E}"/>
    <hyperlink ref="G91" r:id="rId51" xr:uid="{8FE479ED-C1D9-4242-9D59-346712387C08}"/>
    <hyperlink ref="G93" r:id="rId52" xr:uid="{9CBF1239-5F7B-4460-A888-40FFDEA1D5F4}"/>
    <hyperlink ref="G94" r:id="rId53" xr:uid="{5FC11318-021E-4A58-A494-F70E0EF460BA}"/>
    <hyperlink ref="G95" r:id="rId54" xr:uid="{AAA43279-F8FA-46E0-8C13-4E8C3175E332}"/>
    <hyperlink ref="G96" r:id="rId55" xr:uid="{64BF3D7E-1081-41AD-BEF8-6A9441CFCE9B}"/>
    <hyperlink ref="G97" r:id="rId56" xr:uid="{D3E20832-D2D2-4579-9B8A-77CC4B6FA033}"/>
    <hyperlink ref="G98" r:id="rId57" xr:uid="{6C83CE45-CF84-435F-A74F-9A979A0816AE}"/>
    <hyperlink ref="G99" r:id="rId58" xr:uid="{AFB46E7D-015A-4182-9D09-40E2B8600E69}"/>
    <hyperlink ref="G100" r:id="rId59" xr:uid="{F52A7575-7710-42C1-9061-42CDCED4BDFA}"/>
    <hyperlink ref="G84" r:id="rId60" xr:uid="{7628D09D-A176-42B8-821C-742ED842A740}"/>
    <hyperlink ref="G85" r:id="rId61" xr:uid="{B3C4257A-4C1A-492E-AC4A-22DC311E5AFF}"/>
    <hyperlink ref="G86" r:id="rId62" xr:uid="{2CC85DCA-9ED4-49F4-8F60-97AEE0DA9F4F}"/>
    <hyperlink ref="G90" r:id="rId63" xr:uid="{41AB1E17-6C24-48D1-A1C0-E9882BFF9808}"/>
    <hyperlink ref="G101" r:id="rId64" xr:uid="{9930ABDB-5B6D-46F2-9E1C-1632B511EE95}"/>
    <hyperlink ref="G102" r:id="rId65" xr:uid="{2289FA29-2838-4B85-B4B7-BBC9B7593779}"/>
    <hyperlink ref="G103" r:id="rId66" xr:uid="{A348B704-1F18-4F9A-9B11-F287103FDC59}"/>
    <hyperlink ref="G104" r:id="rId67" xr:uid="{AFD655FF-5B45-4289-B045-2D55C61FA5B9}"/>
    <hyperlink ref="G126" r:id="rId68" xr:uid="{1A74E183-5541-4952-835E-A4DDD4C924D6}"/>
    <hyperlink ref="G127" r:id="rId69" xr:uid="{7FAAE305-15B8-4736-AA65-CDA60D98C17B}"/>
    <hyperlink ref="G130" r:id="rId70" xr:uid="{4D16475F-6398-4A34-8F1C-626CE40408FF}"/>
    <hyperlink ref="G131" r:id="rId71" xr:uid="{EA765BDF-27B8-44F3-B2C0-8D90F35899DE}"/>
    <hyperlink ref="G132" r:id="rId72" xr:uid="{C65F86CC-7222-4024-8F35-9C1678E61497}"/>
    <hyperlink ref="G134" r:id="rId73" xr:uid="{CDF4F8A6-9648-430B-A298-D023E3EBE0E8}"/>
    <hyperlink ref="G135" r:id="rId74" xr:uid="{5719FF61-A637-4BA8-AFB8-B7CCA4C92359}"/>
    <hyperlink ref="G115" r:id="rId75" xr:uid="{FE605815-FF0B-4364-A102-4779C594934D}"/>
    <hyperlink ref="G116" r:id="rId76" xr:uid="{2F906951-9BC4-4EAD-8E54-A4F180694DFB}"/>
    <hyperlink ref="G92" r:id="rId77" xr:uid="{82E33879-2AC5-4BFD-8116-2F62544FDA5B}"/>
    <hyperlink ref="G114" r:id="rId78" xr:uid="{18E70BDF-7CA1-4C66-BE50-A6945D223157}"/>
    <hyperlink ref="G138" r:id="rId79" xr:uid="{8623F339-61F3-4B10-896F-39D64ED61440}"/>
    <hyperlink ref="G139" r:id="rId80" xr:uid="{4B8592F9-05C7-4B4B-9EB0-8A17CDE7CAEB}"/>
    <hyperlink ref="G87" r:id="rId81" xr:uid="{5ECB58D2-CCB3-47C9-B401-FBEB7555DCCA}"/>
    <hyperlink ref="G88" r:id="rId82" xr:uid="{17062218-41C7-45EB-BD37-8972830BE9F3}"/>
    <hyperlink ref="G89" r:id="rId83" xr:uid="{13CE08C5-6226-4C53-BDE8-61B7C430F7CE}"/>
    <hyperlink ref="G142" r:id="rId84" xr:uid="{2FD82FFB-50A1-4C18-963D-6C7A5384257C}"/>
  </hyperlinks>
  <pageMargins left="0.7" right="0.7" top="0.75" bottom="0.75" header="0.3" footer="0.3"/>
  <pageSetup paperSize="9" orientation="portrait" r:id="rId85"/>
  <tableParts count="1">
    <tablePart r:id="rId8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77B3C-7FFE-47AF-AFF6-A73FA6002990}">
  <sheetPr codeName="Sheet4"/>
  <dimension ref="A1:C3"/>
  <sheetViews>
    <sheetView workbookViewId="0">
      <selection activeCell="F14" sqref="F14"/>
    </sheetView>
  </sheetViews>
  <sheetFormatPr defaultRowHeight="15" x14ac:dyDescent="0.25"/>
  <sheetData>
    <row r="1" spans="1:3" x14ac:dyDescent="0.25">
      <c r="A1">
        <v>1</v>
      </c>
      <c r="B1">
        <v>2</v>
      </c>
      <c r="C1">
        <v>3</v>
      </c>
    </row>
    <row r="2" spans="1:3" x14ac:dyDescent="0.25">
      <c r="A2">
        <v>1</v>
      </c>
      <c r="B2">
        <v>2</v>
      </c>
      <c r="C2">
        <v>3</v>
      </c>
    </row>
    <row r="3" spans="1:3" x14ac:dyDescent="0.25">
      <c r="A3">
        <v>1</v>
      </c>
      <c r="B3">
        <v>2</v>
      </c>
      <c r="C3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DD162-EE2C-48E5-A418-D8970C46337B}">
  <sheetPr codeName="Sheet2">
    <pageSetUpPr fitToPage="1"/>
  </sheetPr>
  <dimension ref="A1:Z241"/>
  <sheetViews>
    <sheetView topLeftCell="A85" workbookViewId="0">
      <selection activeCell="M14" sqref="M14"/>
    </sheetView>
  </sheetViews>
  <sheetFormatPr defaultColWidth="8.85546875" defaultRowHeight="15" x14ac:dyDescent="0.25"/>
  <cols>
    <col min="1" max="1" width="4.85546875" style="1" customWidth="1"/>
    <col min="2" max="2" width="7.85546875" style="1" hidden="1" customWidth="1"/>
    <col min="3" max="3" width="43.85546875" style="1" customWidth="1"/>
    <col min="4" max="4" width="13.5703125" style="1" customWidth="1"/>
    <col min="5" max="5" width="5.5703125" style="1" customWidth="1"/>
    <col min="6" max="6" width="6.7109375" style="1" customWidth="1"/>
    <col min="7" max="7" width="5.42578125" style="1" customWidth="1"/>
    <col min="8" max="8" width="5.140625" style="1" customWidth="1"/>
    <col min="9" max="10" width="5" style="1" customWidth="1"/>
    <col min="11" max="22" width="4.5703125" style="1" customWidth="1"/>
    <col min="23" max="23" width="6" style="1" customWidth="1"/>
    <col min="24" max="24" width="9.7109375" style="1" customWidth="1"/>
    <col min="25" max="25" width="5.85546875" style="1" customWidth="1"/>
    <col min="27" max="16384" width="8.85546875" style="1"/>
  </cols>
  <sheetData>
    <row r="1" spans="1:26" ht="22.5" customHeight="1" x14ac:dyDescent="0.25">
      <c r="A1" s="27" t="s">
        <v>723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1"/>
    </row>
    <row r="2" spans="1:26" x14ac:dyDescent="0.25">
      <c r="A2" s="28" t="s">
        <v>691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1"/>
    </row>
    <row r="3" spans="1:26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"/>
    </row>
    <row r="4" spans="1:26" x14ac:dyDescent="0.25">
      <c r="A4" s="9"/>
      <c r="B4" s="10"/>
      <c r="C4" s="10"/>
      <c r="D4" s="10"/>
      <c r="E4" s="29" t="s">
        <v>688</v>
      </c>
      <c r="F4" s="30"/>
      <c r="G4" s="30"/>
      <c r="H4" s="30"/>
      <c r="I4" s="30"/>
      <c r="J4" s="31"/>
      <c r="K4" s="26" t="s">
        <v>1</v>
      </c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10"/>
      <c r="X4" s="10"/>
      <c r="Y4" s="11"/>
      <c r="Z4" s="1"/>
    </row>
    <row r="5" spans="1:26" ht="30" x14ac:dyDescent="0.25">
      <c r="A5" s="2" t="s">
        <v>33</v>
      </c>
      <c r="B5" s="2" t="s">
        <v>689</v>
      </c>
      <c r="C5" s="2" t="s">
        <v>18</v>
      </c>
      <c r="D5" s="2" t="s">
        <v>0</v>
      </c>
      <c r="E5" s="2" t="s">
        <v>26</v>
      </c>
      <c r="F5" s="2" t="s">
        <v>27</v>
      </c>
      <c r="G5" s="2" t="s">
        <v>687</v>
      </c>
      <c r="H5" s="2" t="s">
        <v>15</v>
      </c>
      <c r="I5" s="2" t="s">
        <v>16</v>
      </c>
      <c r="J5" s="2" t="s">
        <v>28</v>
      </c>
      <c r="K5" s="2" t="s">
        <v>3</v>
      </c>
      <c r="L5" s="2" t="s">
        <v>4</v>
      </c>
      <c r="M5" s="2" t="s">
        <v>5</v>
      </c>
      <c r="N5" s="2" t="s">
        <v>6</v>
      </c>
      <c r="O5" s="2" t="s">
        <v>7</v>
      </c>
      <c r="P5" s="2" t="s">
        <v>8</v>
      </c>
      <c r="Q5" s="2" t="s">
        <v>9</v>
      </c>
      <c r="R5" s="2" t="s">
        <v>10</v>
      </c>
      <c r="S5" s="2" t="s">
        <v>11</v>
      </c>
      <c r="T5" s="2" t="s">
        <v>12</v>
      </c>
      <c r="U5" s="2" t="s">
        <v>13</v>
      </c>
      <c r="V5" s="2" t="s">
        <v>14</v>
      </c>
      <c r="W5" s="2" t="s">
        <v>29</v>
      </c>
      <c r="X5" s="2" t="s">
        <v>30</v>
      </c>
      <c r="Y5" s="2" t="s">
        <v>32</v>
      </c>
      <c r="Z5" s="1"/>
    </row>
    <row r="6" spans="1:26" x14ac:dyDescent="0.25">
      <c r="A6" s="2">
        <v>1</v>
      </c>
      <c r="B6" s="2">
        <f>MATCH(PlanTable[[#This Row],[Mã thiết bị]],EquipmentInfo[Mã thiết bị],0)</f>
        <v>1</v>
      </c>
      <c r="C6" s="22" t="str">
        <f>INDEX(EquipmentInfo[Tên thiết bị],MATCH(PlanTable[[#This Row],[Mã thiết bị]],EquipmentInfo[Mã thiết bị],0))</f>
        <v>Cân Mettler Toledo AB204S</v>
      </c>
      <c r="D6" s="2" t="s">
        <v>34</v>
      </c>
      <c r="E6" s="2">
        <f>IF(INDEX(EquipmentInfo[KĐ cân],PlanTable[[#This Row],[I]])=0,"",INDEX(EquipmentInfo[KĐ cân],PlanTable[[#This Row],[I]]))</f>
        <v>12</v>
      </c>
      <c r="F6" s="2" t="str">
        <f>IF(INDEX(EquipmentInfo[KĐ áp kế],PlanTable[[#This Row],[I]])=0,"",INDEX(EquipmentInfo[KĐ áp kế],PlanTable[[#This Row],[I]]))</f>
        <v/>
      </c>
      <c r="G6" s="2" t="str">
        <f>IF(INDEX(EquipmentInfo[KĐ AT],PlanTable[[#This Row],[I]])=0,"",INDEX(EquipmentInfo[KĐ AT],PlanTable[[#This Row],[I]]))</f>
        <v/>
      </c>
      <c r="H6" s="2">
        <f>IF(INDEX(EquipmentInfo[HC],PlanTable[[#This Row],[I]])=0,"",INDEX(EquipmentInfo[HC],PlanTable[[#This Row],[I]]))</f>
        <v>12</v>
      </c>
      <c r="I6" s="2">
        <f>IF(INDEX(EquipmentInfo[BT],PlanTable[[#This Row],[I]])=0,"",INDEX(EquipmentInfo[BT],PlanTable[[#This Row],[I]]))</f>
        <v>3</v>
      </c>
      <c r="J6" s="2" t="str">
        <f>IF(INDEX(EquipmentInfo[PQ],PlanTable[[#This Row],[I]])=0,"",INDEX(EquipmentInfo[PQ],PlanTable[[#This Row],[I]]))</f>
        <v/>
      </c>
      <c r="K6" s="2" t="s">
        <v>16</v>
      </c>
      <c r="L6" s="2"/>
      <c r="M6" s="2" t="s">
        <v>17</v>
      </c>
      <c r="N6" s="2" t="s">
        <v>16</v>
      </c>
      <c r="O6" s="2"/>
      <c r="P6" s="2"/>
      <c r="Q6" s="2" t="s">
        <v>15</v>
      </c>
      <c r="R6" s="2"/>
      <c r="S6" s="2"/>
      <c r="T6" s="2" t="s">
        <v>16</v>
      </c>
      <c r="U6" s="2"/>
      <c r="V6" s="2"/>
      <c r="W6" s="2" t="str">
        <f>IF(INDEX(EquipmentInfo[Thuê CQ],PlanTable[[#This Row],[I]])=0,"",INDEX(EquipmentInfo[Thuê CQ],PlanTable[[#This Row],[I]]))</f>
        <v>x</v>
      </c>
      <c r="X6" s="2" t="str">
        <f>INDEX(EquipmentInfo[Người phụ trách],PlanTable[[#This Row],[I]])</f>
        <v>Lan</v>
      </c>
      <c r="Y6" s="2"/>
      <c r="Z6" s="1"/>
    </row>
    <row r="7" spans="1:26" x14ac:dyDescent="0.25">
      <c r="A7" s="2">
        <v>2</v>
      </c>
      <c r="B7" s="2">
        <f>MATCH(PlanTable[[#This Row],[Mã thiết bị]],EquipmentInfo[Mã thiết bị],0)</f>
        <v>2</v>
      </c>
      <c r="C7" s="22" t="str">
        <f>INDEX(EquipmentInfo[Tên thiết bị],MATCH(PlanTable[[#This Row],[Mã thiết bị]],EquipmentInfo[Mã thiết bị],0))</f>
        <v>Bếp cách thủy Memmert WB14</v>
      </c>
      <c r="D7" s="2" t="s">
        <v>35</v>
      </c>
      <c r="E7" s="2" t="str">
        <f>IF(INDEX(EquipmentInfo[KĐ cân],PlanTable[[#This Row],[I]])=0,"",INDEX(EquipmentInfo[KĐ cân],PlanTable[[#This Row],[I]]))</f>
        <v/>
      </c>
      <c r="F7" s="2" t="str">
        <f>IF(INDEX(EquipmentInfo[KĐ áp kế],PlanTable[[#This Row],[I]])=0,"",INDEX(EquipmentInfo[KĐ áp kế],PlanTable[[#This Row],[I]]))</f>
        <v/>
      </c>
      <c r="G7" s="2" t="str">
        <f>IF(INDEX(EquipmentInfo[KĐ AT],PlanTable[[#This Row],[I]])=0,"",INDEX(EquipmentInfo[KĐ AT],PlanTable[[#This Row],[I]]))</f>
        <v/>
      </c>
      <c r="H7" s="2" t="str">
        <f>IF(INDEX(EquipmentInfo[HC],PlanTable[[#This Row],[I]])=0,"",INDEX(EquipmentInfo[HC],PlanTable[[#This Row],[I]]))</f>
        <v/>
      </c>
      <c r="I7" s="2">
        <f>IF(INDEX(EquipmentInfo[BT],PlanTable[[#This Row],[I]])=0,"",INDEX(EquipmentInfo[BT],PlanTable[[#This Row],[I]]))</f>
        <v>12</v>
      </c>
      <c r="J7" s="2" t="str">
        <f>IF(INDEX(EquipmentInfo[PQ],PlanTable[[#This Row],[I]])=0,"",INDEX(EquipmentInfo[PQ],PlanTable[[#This Row],[I]]))</f>
        <v/>
      </c>
      <c r="K7" s="2"/>
      <c r="L7" s="2"/>
      <c r="M7" s="2"/>
      <c r="N7" s="2"/>
      <c r="O7" s="2"/>
      <c r="P7" s="2"/>
      <c r="Q7" s="2" t="s">
        <v>16</v>
      </c>
      <c r="R7" s="2"/>
      <c r="S7" s="2"/>
      <c r="T7" s="2"/>
      <c r="U7" s="2"/>
      <c r="V7" s="2"/>
      <c r="W7" s="2" t="str">
        <f>IF(INDEX(EquipmentInfo[Thuê CQ],PlanTable[[#This Row],[I]])=0,"",INDEX(EquipmentInfo[Thuê CQ],PlanTable[[#This Row],[I]]))</f>
        <v/>
      </c>
      <c r="X7" s="2" t="str">
        <f>INDEX(EquipmentInfo[Người phụ trách],PlanTable[[#This Row],[I]])</f>
        <v>Thắm</v>
      </c>
      <c r="Y7" s="2"/>
      <c r="Z7" s="1"/>
    </row>
    <row r="8" spans="1:26" x14ac:dyDescent="0.25">
      <c r="A8" s="2">
        <v>3</v>
      </c>
      <c r="B8" s="2">
        <f>MATCH(PlanTable[[#This Row],[Mã thiết bị]],EquipmentInfo[Mã thiết bị],0)</f>
        <v>3</v>
      </c>
      <c r="C8" s="22" t="str">
        <f>INDEX(EquipmentInfo[Tên thiết bị],MATCH(PlanTable[[#This Row],[Mã thiết bị]],EquipmentInfo[Mã thiết bị],0))</f>
        <v>Cân Sartorius CP225D</v>
      </c>
      <c r="D8" s="2" t="s">
        <v>36</v>
      </c>
      <c r="E8" s="2">
        <f>IF(INDEX(EquipmentInfo[KĐ cân],PlanTable[[#This Row],[I]])=0,"",INDEX(EquipmentInfo[KĐ cân],PlanTable[[#This Row],[I]]))</f>
        <v>12</v>
      </c>
      <c r="F8" s="2" t="str">
        <f>IF(INDEX(EquipmentInfo[KĐ áp kế],PlanTable[[#This Row],[I]])=0,"",INDEX(EquipmentInfo[KĐ áp kế],PlanTable[[#This Row],[I]]))</f>
        <v/>
      </c>
      <c r="G8" s="2" t="str">
        <f>IF(INDEX(EquipmentInfo[KĐ AT],PlanTable[[#This Row],[I]])=0,"",INDEX(EquipmentInfo[KĐ AT],PlanTable[[#This Row],[I]]))</f>
        <v/>
      </c>
      <c r="H8" s="2">
        <f>IF(INDEX(EquipmentInfo[HC],PlanTable[[#This Row],[I]])=0,"",INDEX(EquipmentInfo[HC],PlanTable[[#This Row],[I]]))</f>
        <v>12</v>
      </c>
      <c r="I8" s="2">
        <f>IF(INDEX(EquipmentInfo[BT],PlanTable[[#This Row],[I]])=0,"",INDEX(EquipmentInfo[BT],PlanTable[[#This Row],[I]]))</f>
        <v>3</v>
      </c>
      <c r="J8" s="2" t="str">
        <f>IF(INDEX(EquipmentInfo[PQ],PlanTable[[#This Row],[I]])=0,"",INDEX(EquipmentInfo[PQ],PlanTable[[#This Row],[I]]))</f>
        <v/>
      </c>
      <c r="K8" s="2" t="s">
        <v>16</v>
      </c>
      <c r="L8" s="2"/>
      <c r="M8" s="2" t="s">
        <v>17</v>
      </c>
      <c r="N8" s="2" t="s">
        <v>16</v>
      </c>
      <c r="O8" s="2"/>
      <c r="P8" s="2"/>
      <c r="Q8" s="2" t="s">
        <v>15</v>
      </c>
      <c r="R8" s="2"/>
      <c r="S8" s="2"/>
      <c r="T8" s="2" t="s">
        <v>16</v>
      </c>
      <c r="U8" s="2"/>
      <c r="V8" s="2"/>
      <c r="W8" s="2" t="str">
        <f>IF(INDEX(EquipmentInfo[Thuê CQ],PlanTable[[#This Row],[I]])=0,"",INDEX(EquipmentInfo[Thuê CQ],PlanTable[[#This Row],[I]]))</f>
        <v>x</v>
      </c>
      <c r="X8" s="2" t="str">
        <f>INDEX(EquipmentInfo[Người phụ trách],PlanTable[[#This Row],[I]])</f>
        <v>Lan</v>
      </c>
      <c r="Y8" s="2"/>
      <c r="Z8" s="1"/>
    </row>
    <row r="9" spans="1:26" x14ac:dyDescent="0.25">
      <c r="A9" s="2">
        <v>4</v>
      </c>
      <c r="B9" s="2">
        <f>MATCH(PlanTable[[#This Row],[Mã thiết bị]],EquipmentInfo[Mã thiết bị],0)</f>
        <v>4</v>
      </c>
      <c r="C9" s="22" t="str">
        <f>INDEX(EquipmentInfo[Tên thiết bị],MATCH(PlanTable[[#This Row],[Mã thiết bị]],EquipmentInfo[Mã thiết bị],0))</f>
        <v>Bếp cách thủy HH-4</v>
      </c>
      <c r="D9" s="2" t="s">
        <v>37</v>
      </c>
      <c r="E9" s="2" t="str">
        <f>IF(INDEX(EquipmentInfo[KĐ cân],PlanTable[[#This Row],[I]])=0,"",INDEX(EquipmentInfo[KĐ cân],PlanTable[[#This Row],[I]]))</f>
        <v/>
      </c>
      <c r="F9" s="2" t="str">
        <f>IF(INDEX(EquipmentInfo[KĐ áp kế],PlanTable[[#This Row],[I]])=0,"",INDEX(EquipmentInfo[KĐ áp kế],PlanTable[[#This Row],[I]]))</f>
        <v/>
      </c>
      <c r="G9" s="2" t="str">
        <f>IF(INDEX(EquipmentInfo[KĐ AT],PlanTable[[#This Row],[I]])=0,"",INDEX(EquipmentInfo[KĐ AT],PlanTable[[#This Row],[I]]))</f>
        <v/>
      </c>
      <c r="H9" s="2" t="str">
        <f>IF(INDEX(EquipmentInfo[HC],PlanTable[[#This Row],[I]])=0,"",INDEX(EquipmentInfo[HC],PlanTable[[#This Row],[I]]))</f>
        <v/>
      </c>
      <c r="I9" s="2">
        <f>IF(INDEX(EquipmentInfo[BT],PlanTable[[#This Row],[I]])=0,"",INDEX(EquipmentInfo[BT],PlanTable[[#This Row],[I]]))</f>
        <v>12</v>
      </c>
      <c r="J9" s="2" t="str">
        <f>IF(INDEX(EquipmentInfo[PQ],PlanTable[[#This Row],[I]])=0,"",INDEX(EquipmentInfo[PQ],PlanTable[[#This Row],[I]]))</f>
        <v/>
      </c>
      <c r="K9" s="2"/>
      <c r="L9" s="2"/>
      <c r="M9" s="2"/>
      <c r="N9" s="2"/>
      <c r="O9" s="2"/>
      <c r="P9" s="2" t="s">
        <v>16</v>
      </c>
      <c r="Q9" s="2"/>
      <c r="R9" s="2"/>
      <c r="S9" s="2"/>
      <c r="T9" s="2"/>
      <c r="U9" s="2"/>
      <c r="V9" s="2"/>
      <c r="W9" s="2" t="str">
        <f>IF(INDEX(EquipmentInfo[Thuê CQ],PlanTable[[#This Row],[I]])=0,"",INDEX(EquipmentInfo[Thuê CQ],PlanTable[[#This Row],[I]]))</f>
        <v/>
      </c>
      <c r="X9" s="2" t="str">
        <f>INDEX(EquipmentInfo[Người phụ trách],PlanTable[[#This Row],[I]])</f>
        <v>Thắm</v>
      </c>
      <c r="Y9" s="2"/>
      <c r="Z9" s="1"/>
    </row>
    <row r="10" spans="1:26" ht="30" x14ac:dyDescent="0.25">
      <c r="A10" s="2">
        <v>5</v>
      </c>
      <c r="B10" s="2">
        <f>MATCH(PlanTable[[#This Row],[Mã thiết bị]],EquipmentInfo[Mã thiết bị],0)</f>
        <v>6</v>
      </c>
      <c r="C10" s="22" t="str">
        <f>INDEX(EquipmentInfo[Tên thiết bị],MATCH(PlanTable[[#This Row],[Mã thiết bị]],EquipmentInfo[Mã thiết bị],0))</f>
        <v>Máy đo độ rã Erweka ZT-122</v>
      </c>
      <c r="D10" s="2" t="s">
        <v>39</v>
      </c>
      <c r="E10" s="2" t="str">
        <f>IF(INDEX(EquipmentInfo[KĐ cân],PlanTable[[#This Row],[I]])=0,"",INDEX(EquipmentInfo[KĐ cân],PlanTable[[#This Row],[I]]))</f>
        <v/>
      </c>
      <c r="F10" s="2" t="str">
        <f>IF(INDEX(EquipmentInfo[KĐ áp kế],PlanTable[[#This Row],[I]])=0,"",INDEX(EquipmentInfo[KĐ áp kế],PlanTable[[#This Row],[I]]))</f>
        <v/>
      </c>
      <c r="G10" s="2" t="str">
        <f>IF(INDEX(EquipmentInfo[KĐ AT],PlanTable[[#This Row],[I]])=0,"",INDEX(EquipmentInfo[KĐ AT],PlanTable[[#This Row],[I]]))</f>
        <v/>
      </c>
      <c r="H10" s="2">
        <f>IF(INDEX(EquipmentInfo[HC],PlanTable[[#This Row],[I]])=0,"",INDEX(EquipmentInfo[HC],PlanTable[[#This Row],[I]]))</f>
        <v>12</v>
      </c>
      <c r="I10" s="2">
        <f>IF(INDEX(EquipmentInfo[BT],PlanTable[[#This Row],[I]])=0,"",INDEX(EquipmentInfo[BT],PlanTable[[#This Row],[I]]))</f>
        <v>6</v>
      </c>
      <c r="J10" s="2" t="str">
        <f>IF(INDEX(EquipmentInfo[PQ],PlanTable[[#This Row],[I]])=0,"",INDEX(EquipmentInfo[PQ],PlanTable[[#This Row],[I]]))</f>
        <v/>
      </c>
      <c r="K10" s="2"/>
      <c r="L10" s="2"/>
      <c r="M10" s="2"/>
      <c r="N10" s="2"/>
      <c r="O10" s="2"/>
      <c r="P10" s="2"/>
      <c r="Q10" s="2"/>
      <c r="R10" s="2" t="s">
        <v>150</v>
      </c>
      <c r="S10" s="2"/>
      <c r="T10" s="2"/>
      <c r="U10" s="2"/>
      <c r="V10" s="2"/>
      <c r="W10" s="2" t="str">
        <f>IF(INDEX(EquipmentInfo[Thuê CQ],PlanTable[[#This Row],[I]])=0,"",INDEX(EquipmentInfo[Thuê CQ],PlanTable[[#This Row],[I]]))</f>
        <v/>
      </c>
      <c r="X10" s="2" t="str">
        <f>INDEX(EquipmentInfo[Người phụ trách],PlanTable[[#This Row],[I]])</f>
        <v>Lan</v>
      </c>
      <c r="Y10" s="2"/>
      <c r="Z10" s="1"/>
    </row>
    <row r="11" spans="1:26" ht="45" x14ac:dyDescent="0.25">
      <c r="A11" s="2">
        <v>6</v>
      </c>
      <c r="B11" s="2">
        <f>MATCH(PlanTable[[#This Row],[Mã thiết bị]],EquipmentInfo[Mã thiết bị],0)</f>
        <v>7</v>
      </c>
      <c r="C11" s="22" t="str">
        <f>INDEX(EquipmentInfo[Tên thiết bị],MATCH(PlanTable[[#This Row],[Mã thiết bị]],EquipmentInfo[Mã thiết bị],0))</f>
        <v>Nồi hấp Hirayama HV-110</v>
      </c>
      <c r="D11" s="2" t="s">
        <v>40</v>
      </c>
      <c r="E11" s="2" t="str">
        <f>IF(INDEX(EquipmentInfo[KĐ cân],PlanTable[[#This Row],[I]])=0,"",INDEX(EquipmentInfo[KĐ cân],PlanTable[[#This Row],[I]]))</f>
        <v/>
      </c>
      <c r="F11" s="2">
        <f>IF(INDEX(EquipmentInfo[KĐ áp kế],PlanTable[[#This Row],[I]])=0,"",INDEX(EquipmentInfo[KĐ áp kế],PlanTable[[#This Row],[I]]))</f>
        <v>12</v>
      </c>
      <c r="G11" s="2">
        <f>IF(INDEX(EquipmentInfo[KĐ AT],PlanTable[[#This Row],[I]])=0,"",INDEX(EquipmentInfo[KĐ AT],PlanTable[[#This Row],[I]]))</f>
        <v>24</v>
      </c>
      <c r="H11" s="2" t="str">
        <f>IF(INDEX(EquipmentInfo[HC],PlanTable[[#This Row],[I]])=0,"",INDEX(EquipmentInfo[HC],PlanTable[[#This Row],[I]]))</f>
        <v/>
      </c>
      <c r="I11" s="2" t="str">
        <f>IF(INDEX(EquipmentInfo[BT],PlanTable[[#This Row],[I]])=0,"",INDEX(EquipmentInfo[BT],PlanTable[[#This Row],[I]]))</f>
        <v/>
      </c>
      <c r="J11" s="2">
        <f>IF(INDEX(EquipmentInfo[PQ],PlanTable[[#This Row],[I]])=0,"",INDEX(EquipmentInfo[PQ],PlanTable[[#This Row],[I]]))</f>
        <v>12</v>
      </c>
      <c r="K11" s="2"/>
      <c r="L11" s="2"/>
      <c r="M11" s="2"/>
      <c r="N11" s="2" t="s">
        <v>27</v>
      </c>
      <c r="O11" s="2"/>
      <c r="P11" s="2" t="s">
        <v>28</v>
      </c>
      <c r="Q11" s="2"/>
      <c r="R11" s="2"/>
      <c r="S11" s="2"/>
      <c r="T11" s="2"/>
      <c r="U11" s="2"/>
      <c r="V11" s="2"/>
      <c r="W11" s="2" t="str">
        <f>IF(INDEX(EquipmentInfo[Thuê CQ],PlanTable[[#This Row],[I]])=0,"",INDEX(EquipmentInfo[Thuê CQ],PlanTable[[#This Row],[I]]))</f>
        <v>x</v>
      </c>
      <c r="X11" s="2" t="str">
        <f>INDEX(EquipmentInfo[Người phụ trách],PlanTable[[#This Row],[I]])</f>
        <v>Vân</v>
      </c>
      <c r="Y11" s="2"/>
      <c r="Z11" s="1"/>
    </row>
    <row r="12" spans="1:26" x14ac:dyDescent="0.25">
      <c r="A12" s="2">
        <v>7</v>
      </c>
      <c r="B12" s="2">
        <f>MATCH(PlanTable[[#This Row],[Mã thiết bị]],EquipmentInfo[Mã thiết bị],0)</f>
        <v>8</v>
      </c>
      <c r="C12" s="22" t="str">
        <f>INDEX(EquipmentInfo[Tên thiết bị],MATCH(PlanTable[[#This Row],[Mã thiết bị]],EquipmentInfo[Mã thiết bị],0))</f>
        <v>Lò nung Nabertherm L3/11/B170</v>
      </c>
      <c r="D12" s="2" t="s">
        <v>41</v>
      </c>
      <c r="E12" s="2" t="str">
        <f>IF(INDEX(EquipmentInfo[KĐ cân],PlanTable[[#This Row],[I]])=0,"",INDEX(EquipmentInfo[KĐ cân],PlanTable[[#This Row],[I]]))</f>
        <v/>
      </c>
      <c r="F12" s="2" t="str">
        <f>IF(INDEX(EquipmentInfo[KĐ áp kế],PlanTable[[#This Row],[I]])=0,"",INDEX(EquipmentInfo[KĐ áp kế],PlanTable[[#This Row],[I]]))</f>
        <v/>
      </c>
      <c r="G12" s="2" t="str">
        <f>IF(INDEX(EquipmentInfo[KĐ AT],PlanTable[[#This Row],[I]])=0,"",INDEX(EquipmentInfo[KĐ AT],PlanTable[[#This Row],[I]]))</f>
        <v/>
      </c>
      <c r="H12" s="2">
        <f>IF(INDEX(EquipmentInfo[HC],PlanTable[[#This Row],[I]])=0,"",INDEX(EquipmentInfo[HC],PlanTable[[#This Row],[I]]))</f>
        <v>12</v>
      </c>
      <c r="I12" s="2">
        <f>IF(INDEX(EquipmentInfo[BT],PlanTable[[#This Row],[I]])=0,"",INDEX(EquipmentInfo[BT],PlanTable[[#This Row],[I]]))</f>
        <v>3</v>
      </c>
      <c r="J12" s="2" t="str">
        <f>IF(INDEX(EquipmentInfo[PQ],PlanTable[[#This Row],[I]])=0,"",INDEX(EquipmentInfo[PQ],PlanTable[[#This Row],[I]]))</f>
        <v/>
      </c>
      <c r="K12" s="2" t="s">
        <v>16</v>
      </c>
      <c r="L12" s="2"/>
      <c r="M12" s="2"/>
      <c r="N12" s="2" t="s">
        <v>16</v>
      </c>
      <c r="O12" s="2"/>
      <c r="P12" s="2"/>
      <c r="Q12" s="2" t="s">
        <v>15</v>
      </c>
      <c r="R12" s="2"/>
      <c r="S12" s="2"/>
      <c r="T12" s="2" t="s">
        <v>16</v>
      </c>
      <c r="U12" s="2"/>
      <c r="V12" s="2"/>
      <c r="W12" s="2" t="str">
        <f>IF(INDEX(EquipmentInfo[Thuê CQ],PlanTable[[#This Row],[I]])=0,"",INDEX(EquipmentInfo[Thuê CQ],PlanTable[[#This Row],[I]]))</f>
        <v>x</v>
      </c>
      <c r="X12" s="2" t="str">
        <f>INDEX(EquipmentInfo[Người phụ trách],PlanTable[[#This Row],[I]])</f>
        <v>Cường</v>
      </c>
      <c r="Y12" s="2"/>
      <c r="Z12" s="1"/>
    </row>
    <row r="13" spans="1:26" x14ac:dyDescent="0.25">
      <c r="A13" s="2">
        <v>8</v>
      </c>
      <c r="B13" s="2">
        <f>MATCH(PlanTable[[#This Row],[Mã thiết bị]],EquipmentInfo[Mã thiết bị],0)</f>
        <v>9</v>
      </c>
      <c r="C13" s="22" t="str">
        <f>INDEX(EquipmentInfo[Tên thiết bị],MATCH(PlanTable[[#This Row],[Mã thiết bị]],EquipmentInfo[Mã thiết bị],0))</f>
        <v>Máy khuấy từ Hanna HI 310</v>
      </c>
      <c r="D13" s="2" t="s">
        <v>42</v>
      </c>
      <c r="E13" s="2" t="str">
        <f>IF(INDEX(EquipmentInfo[KĐ cân],PlanTable[[#This Row],[I]])=0,"",INDEX(EquipmentInfo[KĐ cân],PlanTable[[#This Row],[I]]))</f>
        <v/>
      </c>
      <c r="F13" s="2" t="str">
        <f>IF(INDEX(EquipmentInfo[KĐ áp kế],PlanTable[[#This Row],[I]])=0,"",INDEX(EquipmentInfo[KĐ áp kế],PlanTable[[#This Row],[I]]))</f>
        <v/>
      </c>
      <c r="G13" s="2" t="str">
        <f>IF(INDEX(EquipmentInfo[KĐ AT],PlanTable[[#This Row],[I]])=0,"",INDEX(EquipmentInfo[KĐ AT],PlanTable[[#This Row],[I]]))</f>
        <v/>
      </c>
      <c r="H13" s="2" t="str">
        <f>IF(INDEX(EquipmentInfo[HC],PlanTable[[#This Row],[I]])=0,"",INDEX(EquipmentInfo[HC],PlanTable[[#This Row],[I]]))</f>
        <v/>
      </c>
      <c r="I13" s="2">
        <f>IF(INDEX(EquipmentInfo[BT],PlanTable[[#This Row],[I]])=0,"",INDEX(EquipmentInfo[BT],PlanTable[[#This Row],[I]]))</f>
        <v>12</v>
      </c>
      <c r="J13" s="2" t="str">
        <f>IF(INDEX(EquipmentInfo[PQ],PlanTable[[#This Row],[I]])=0,"",INDEX(EquipmentInfo[PQ],PlanTable[[#This Row],[I]]))</f>
        <v/>
      </c>
      <c r="K13" s="2"/>
      <c r="L13" s="2" t="s">
        <v>16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 t="str">
        <f>IF(INDEX(EquipmentInfo[Thuê CQ],PlanTable[[#This Row],[I]])=0,"",INDEX(EquipmentInfo[Thuê CQ],PlanTable[[#This Row],[I]]))</f>
        <v/>
      </c>
      <c r="X13" s="2" t="str">
        <f>INDEX(EquipmentInfo[Người phụ trách],PlanTable[[#This Row],[I]])</f>
        <v>Cường</v>
      </c>
      <c r="Y13" s="2"/>
      <c r="Z13" s="1"/>
    </row>
    <row r="14" spans="1:26" x14ac:dyDescent="0.25">
      <c r="A14" s="2">
        <v>9</v>
      </c>
      <c r="B14" s="2">
        <f>MATCH(PlanTable[[#This Row],[Mã thiết bị]],EquipmentInfo[Mã thiết bị],0)</f>
        <v>10</v>
      </c>
      <c r="C14" s="22" t="str">
        <f>INDEX(EquipmentInfo[Tên thiết bị],MATCH(PlanTable[[#This Row],[Mã thiết bị]],EquipmentInfo[Mã thiết bị],0))</f>
        <v>Cân Sartorius CP224S</v>
      </c>
      <c r="D14" s="2" t="s">
        <v>43</v>
      </c>
      <c r="E14" s="2">
        <f>IF(INDEX(EquipmentInfo[KĐ cân],PlanTable[[#This Row],[I]])=0,"",INDEX(EquipmentInfo[KĐ cân],PlanTable[[#This Row],[I]]))</f>
        <v>12</v>
      </c>
      <c r="F14" s="2" t="str">
        <f>IF(INDEX(EquipmentInfo[KĐ áp kế],PlanTable[[#This Row],[I]])=0,"",INDEX(EquipmentInfo[KĐ áp kế],PlanTable[[#This Row],[I]]))</f>
        <v/>
      </c>
      <c r="G14" s="2" t="str">
        <f>IF(INDEX(EquipmentInfo[KĐ AT],PlanTable[[#This Row],[I]])=0,"",INDEX(EquipmentInfo[KĐ AT],PlanTable[[#This Row],[I]]))</f>
        <v/>
      </c>
      <c r="H14" s="2">
        <f>IF(INDEX(EquipmentInfo[HC],PlanTable[[#This Row],[I]])=0,"",INDEX(EquipmentInfo[HC],PlanTable[[#This Row],[I]]))</f>
        <v>12</v>
      </c>
      <c r="I14" s="2">
        <f>IF(INDEX(EquipmentInfo[BT],PlanTable[[#This Row],[I]])=0,"",INDEX(EquipmentInfo[BT],PlanTable[[#This Row],[I]]))</f>
        <v>3</v>
      </c>
      <c r="J14" s="2" t="str">
        <f>IF(INDEX(EquipmentInfo[PQ],PlanTable[[#This Row],[I]])=0,"",INDEX(EquipmentInfo[PQ],PlanTable[[#This Row],[I]]))</f>
        <v/>
      </c>
      <c r="K14" s="2" t="s">
        <v>16</v>
      </c>
      <c r="L14" s="2"/>
      <c r="M14" s="2" t="s">
        <v>17</v>
      </c>
      <c r="N14" s="2" t="s">
        <v>16</v>
      </c>
      <c r="O14" s="2"/>
      <c r="P14" s="2"/>
      <c r="Q14" s="2" t="s">
        <v>15</v>
      </c>
      <c r="R14" s="2"/>
      <c r="S14" s="2"/>
      <c r="T14" s="2" t="s">
        <v>16</v>
      </c>
      <c r="U14" s="2"/>
      <c r="V14" s="2"/>
      <c r="W14" s="2" t="str">
        <f>IF(INDEX(EquipmentInfo[Thuê CQ],PlanTable[[#This Row],[I]])=0,"",INDEX(EquipmentInfo[Thuê CQ],PlanTable[[#This Row],[I]]))</f>
        <v/>
      </c>
      <c r="X14" s="2" t="str">
        <f>INDEX(EquipmentInfo[Người phụ trách],PlanTable[[#This Row],[I]])</f>
        <v>Lan</v>
      </c>
      <c r="Y14" s="2"/>
      <c r="Z14" s="1"/>
    </row>
    <row r="15" spans="1:26" x14ac:dyDescent="0.25">
      <c r="A15" s="2">
        <v>10</v>
      </c>
      <c r="B15" s="2">
        <f>MATCH(PlanTable[[#This Row],[Mã thiết bị]],EquipmentInfo[Mã thiết bị],0)</f>
        <v>11</v>
      </c>
      <c r="C15" s="22" t="str">
        <f>INDEX(EquipmentInfo[Tên thiết bị],MATCH(PlanTable[[#This Row],[Mã thiết bị]],EquipmentInfo[Mã thiết bị],0))</f>
        <v>Kính hiển vi Olympus CX21</v>
      </c>
      <c r="D15" s="2" t="s">
        <v>44</v>
      </c>
      <c r="E15" s="2" t="str">
        <f>IF(INDEX(EquipmentInfo[KĐ cân],PlanTable[[#This Row],[I]])=0,"",INDEX(EquipmentInfo[KĐ cân],PlanTable[[#This Row],[I]]))</f>
        <v/>
      </c>
      <c r="F15" s="2" t="str">
        <f>IF(INDEX(EquipmentInfo[KĐ áp kế],PlanTable[[#This Row],[I]])=0,"",INDEX(EquipmentInfo[KĐ áp kế],PlanTable[[#This Row],[I]]))</f>
        <v/>
      </c>
      <c r="G15" s="2" t="str">
        <f>IF(INDEX(EquipmentInfo[KĐ AT],PlanTable[[#This Row],[I]])=0,"",INDEX(EquipmentInfo[KĐ AT],PlanTable[[#This Row],[I]]))</f>
        <v/>
      </c>
      <c r="H15" s="2" t="str">
        <f>IF(INDEX(EquipmentInfo[HC],PlanTable[[#This Row],[I]])=0,"",INDEX(EquipmentInfo[HC],PlanTable[[#This Row],[I]]))</f>
        <v/>
      </c>
      <c r="I15" s="2">
        <f>IF(INDEX(EquipmentInfo[BT],PlanTable[[#This Row],[I]])=0,"",INDEX(EquipmentInfo[BT],PlanTable[[#This Row],[I]]))</f>
        <v>12</v>
      </c>
      <c r="J15" s="2" t="str">
        <f>IF(INDEX(EquipmentInfo[PQ],PlanTable[[#This Row],[I]])=0,"",INDEX(EquipmentInfo[PQ],PlanTable[[#This Row],[I]]))</f>
        <v/>
      </c>
      <c r="K15" s="2"/>
      <c r="L15" s="2"/>
      <c r="M15" s="2"/>
      <c r="N15" s="2"/>
      <c r="O15" s="2"/>
      <c r="P15" s="2"/>
      <c r="Q15" s="2" t="s">
        <v>16</v>
      </c>
      <c r="R15" s="2"/>
      <c r="S15" s="2"/>
      <c r="T15" s="2"/>
      <c r="U15" s="2"/>
      <c r="V15" s="2"/>
      <c r="W15" s="2" t="str">
        <f>IF(INDEX(EquipmentInfo[Thuê CQ],PlanTable[[#This Row],[I]])=0,"",INDEX(EquipmentInfo[Thuê CQ],PlanTable[[#This Row],[I]]))</f>
        <v/>
      </c>
      <c r="X15" s="2" t="str">
        <f>INDEX(EquipmentInfo[Người phụ trách],PlanTable[[#This Row],[I]])</f>
        <v>Ngọc</v>
      </c>
      <c r="Y15" s="2"/>
      <c r="Z15" s="1"/>
    </row>
    <row r="16" spans="1:26" x14ac:dyDescent="0.25">
      <c r="A16" s="2">
        <v>11</v>
      </c>
      <c r="B16" s="2">
        <f>MATCH(PlanTable[[#This Row],[Mã thiết bị]],EquipmentInfo[Mã thiết bị],0)</f>
        <v>12</v>
      </c>
      <c r="C16" s="22" t="str">
        <f>INDEX(EquipmentInfo[Tên thiết bị],MATCH(PlanTable[[#This Row],[Mã thiết bị]],EquipmentInfo[Mã thiết bị],0))</f>
        <v>Máy lắc ngang HY-4</v>
      </c>
      <c r="D16" s="2" t="s">
        <v>45</v>
      </c>
      <c r="E16" s="2" t="str">
        <f>IF(INDEX(EquipmentInfo[KĐ cân],PlanTable[[#This Row],[I]])=0,"",INDEX(EquipmentInfo[KĐ cân],PlanTable[[#This Row],[I]]))</f>
        <v/>
      </c>
      <c r="F16" s="2" t="str">
        <f>IF(INDEX(EquipmentInfo[KĐ áp kế],PlanTable[[#This Row],[I]])=0,"",INDEX(EquipmentInfo[KĐ áp kế],PlanTable[[#This Row],[I]]))</f>
        <v/>
      </c>
      <c r="G16" s="2" t="str">
        <f>IF(INDEX(EquipmentInfo[KĐ AT],PlanTable[[#This Row],[I]])=0,"",INDEX(EquipmentInfo[KĐ AT],PlanTable[[#This Row],[I]]))</f>
        <v/>
      </c>
      <c r="H16" s="2" t="str">
        <f>IF(INDEX(EquipmentInfo[HC],PlanTable[[#This Row],[I]])=0,"",INDEX(EquipmentInfo[HC],PlanTable[[#This Row],[I]]))</f>
        <v/>
      </c>
      <c r="I16" s="2">
        <f>IF(INDEX(EquipmentInfo[BT],PlanTable[[#This Row],[I]])=0,"",INDEX(EquipmentInfo[BT],PlanTable[[#This Row],[I]]))</f>
        <v>12</v>
      </c>
      <c r="J16" s="2" t="str">
        <f>IF(INDEX(EquipmentInfo[PQ],PlanTable[[#This Row],[I]])=0,"",INDEX(EquipmentInfo[PQ],PlanTable[[#This Row],[I]]))</f>
        <v/>
      </c>
      <c r="K16" s="2"/>
      <c r="L16" s="2"/>
      <c r="M16" s="2"/>
      <c r="N16" s="2"/>
      <c r="O16" s="2"/>
      <c r="P16" s="2"/>
      <c r="Q16" s="2"/>
      <c r="R16" s="2" t="s">
        <v>16</v>
      </c>
      <c r="S16" s="2"/>
      <c r="T16" s="2"/>
      <c r="U16" s="2"/>
      <c r="V16" s="2"/>
      <c r="W16" s="2" t="str">
        <f>IF(INDEX(EquipmentInfo[Thuê CQ],PlanTable[[#This Row],[I]])=0,"",INDEX(EquipmentInfo[Thuê CQ],PlanTable[[#This Row],[I]]))</f>
        <v/>
      </c>
      <c r="X16" s="2" t="str">
        <f>INDEX(EquipmentInfo[Người phụ trách],PlanTable[[#This Row],[I]])</f>
        <v>Vân</v>
      </c>
      <c r="Y16" s="2"/>
      <c r="Z16" s="1"/>
    </row>
    <row r="17" spans="1:26" x14ac:dyDescent="0.25">
      <c r="A17" s="2">
        <v>12</v>
      </c>
      <c r="B17" s="2">
        <f>MATCH(PlanTable[[#This Row],[Mã thiết bị]],EquipmentInfo[Mã thiết bị],0)</f>
        <v>13</v>
      </c>
      <c r="C17" s="22" t="str">
        <f>INDEX(EquipmentInfo[Tên thiết bị],MATCH(PlanTable[[#This Row],[Mã thiết bị]],EquipmentInfo[Mã thiết bị],0))</f>
        <v>Tủ mát Velp FOC 215i</v>
      </c>
      <c r="D17" s="2" t="s">
        <v>46</v>
      </c>
      <c r="E17" s="2" t="str">
        <f>IF(INDEX(EquipmentInfo[KĐ cân],PlanTable[[#This Row],[I]])=0,"",INDEX(EquipmentInfo[KĐ cân],PlanTable[[#This Row],[I]]))</f>
        <v/>
      </c>
      <c r="F17" s="2" t="str">
        <f>IF(INDEX(EquipmentInfo[KĐ áp kế],PlanTable[[#This Row],[I]])=0,"",INDEX(EquipmentInfo[KĐ áp kế],PlanTable[[#This Row],[I]]))</f>
        <v/>
      </c>
      <c r="G17" s="2" t="str">
        <f>IF(INDEX(EquipmentInfo[KĐ AT],PlanTable[[#This Row],[I]])=0,"",INDEX(EquipmentInfo[KĐ AT],PlanTable[[#This Row],[I]]))</f>
        <v/>
      </c>
      <c r="H17" s="2">
        <f>IF(INDEX(EquipmentInfo[HC],PlanTable[[#This Row],[I]])=0,"",INDEX(EquipmentInfo[HC],PlanTable[[#This Row],[I]]))</f>
        <v>12</v>
      </c>
      <c r="I17" s="2" t="str">
        <f>IF(INDEX(EquipmentInfo[BT],PlanTable[[#This Row],[I]])=0,"",INDEX(EquipmentInfo[BT],PlanTable[[#This Row],[I]]))</f>
        <v/>
      </c>
      <c r="J17" s="2" t="str">
        <f>IF(INDEX(EquipmentInfo[PQ],PlanTable[[#This Row],[I]])=0,"",INDEX(EquipmentInfo[PQ],PlanTable[[#This Row],[I]]))</f>
        <v/>
      </c>
      <c r="K17" s="2"/>
      <c r="L17" s="2"/>
      <c r="M17" s="2"/>
      <c r="N17" s="2"/>
      <c r="O17" s="2"/>
      <c r="P17" s="2"/>
      <c r="Q17" s="2" t="s">
        <v>15</v>
      </c>
      <c r="R17" s="2"/>
      <c r="S17" s="2"/>
      <c r="T17" s="2"/>
      <c r="U17" s="2"/>
      <c r="V17" s="2"/>
      <c r="W17" s="2" t="str">
        <f>IF(INDEX(EquipmentInfo[Thuê CQ],PlanTable[[#This Row],[I]])=0,"",INDEX(EquipmentInfo[Thuê CQ],PlanTable[[#This Row],[I]]))</f>
        <v>x</v>
      </c>
      <c r="X17" s="2" t="str">
        <f>INDEX(EquipmentInfo[Người phụ trách],PlanTable[[#This Row],[I]])</f>
        <v>Vân</v>
      </c>
      <c r="Y17" s="2"/>
      <c r="Z17" s="1"/>
    </row>
    <row r="18" spans="1:26" x14ac:dyDescent="0.25">
      <c r="A18" s="2">
        <v>13</v>
      </c>
      <c r="B18" s="2">
        <f>MATCH(PlanTable[[#This Row],[Mã thiết bị]],EquipmentInfo[Mã thiết bị],0)</f>
        <v>15</v>
      </c>
      <c r="C18" s="22" t="str">
        <f>INDEX(EquipmentInfo[Tên thiết bị],MATCH(PlanTable[[#This Row],[Mã thiết bị]],EquipmentInfo[Mã thiết bị],0))</f>
        <v>Bơm chân không KNF</v>
      </c>
      <c r="D18" s="2" t="s">
        <v>47</v>
      </c>
      <c r="E18" s="2" t="str">
        <f>IF(INDEX(EquipmentInfo[KĐ cân],PlanTable[[#This Row],[I]])=0,"",INDEX(EquipmentInfo[KĐ cân],PlanTable[[#This Row],[I]]))</f>
        <v/>
      </c>
      <c r="F18" s="2" t="str">
        <f>IF(INDEX(EquipmentInfo[KĐ áp kế],PlanTable[[#This Row],[I]])=0,"",INDEX(EquipmentInfo[KĐ áp kế],PlanTable[[#This Row],[I]]))</f>
        <v/>
      </c>
      <c r="G18" s="2" t="str">
        <f>IF(INDEX(EquipmentInfo[KĐ AT],PlanTable[[#This Row],[I]])=0,"",INDEX(EquipmentInfo[KĐ AT],PlanTable[[#This Row],[I]]))</f>
        <v/>
      </c>
      <c r="H18" s="2" t="str">
        <f>IF(INDEX(EquipmentInfo[HC],PlanTable[[#This Row],[I]])=0,"",INDEX(EquipmentInfo[HC],PlanTable[[#This Row],[I]]))</f>
        <v/>
      </c>
      <c r="I18" s="2">
        <f>IF(INDEX(EquipmentInfo[BT],PlanTable[[#This Row],[I]])=0,"",INDEX(EquipmentInfo[BT],PlanTable[[#This Row],[I]]))</f>
        <v>12</v>
      </c>
      <c r="J18" s="2" t="str">
        <f>IF(INDEX(EquipmentInfo[PQ],PlanTable[[#This Row],[I]])=0,"",INDEX(EquipmentInfo[PQ],PlanTable[[#This Row],[I]]))</f>
        <v/>
      </c>
      <c r="K18" s="2"/>
      <c r="L18" s="2" t="s">
        <v>16</v>
      </c>
      <c r="M18" s="2"/>
      <c r="N18" s="2"/>
      <c r="O18" s="2"/>
      <c r="P18" s="2"/>
      <c r="Q18" s="2"/>
      <c r="R18" s="2"/>
      <c r="S18" s="2"/>
      <c r="T18" s="2"/>
      <c r="U18" s="2"/>
      <c r="V18" s="2"/>
      <c r="W18" s="2" t="str">
        <f>IF(INDEX(EquipmentInfo[Thuê CQ],PlanTable[[#This Row],[I]])=0,"",INDEX(EquipmentInfo[Thuê CQ],PlanTable[[#This Row],[I]]))</f>
        <v/>
      </c>
      <c r="X18" s="2" t="str">
        <f>INDEX(EquipmentInfo[Người phụ trách],PlanTable[[#This Row],[I]])</f>
        <v>Cường</v>
      </c>
      <c r="Y18" s="2"/>
      <c r="Z18" s="1"/>
    </row>
    <row r="19" spans="1:26" x14ac:dyDescent="0.25">
      <c r="A19" s="2">
        <v>14</v>
      </c>
      <c r="B19" s="2">
        <f>MATCH(PlanTable[[#This Row],[Mã thiết bị]],EquipmentInfo[Mã thiết bị],0)</f>
        <v>16</v>
      </c>
      <c r="C19" s="22" t="str">
        <f>INDEX(EquipmentInfo[Tên thiết bị],MATCH(PlanTable[[#This Row],[Mã thiết bị]],EquipmentInfo[Mã thiết bị],0))</f>
        <v>Cân Precisa BJ 2100D</v>
      </c>
      <c r="D19" s="2" t="s">
        <v>62</v>
      </c>
      <c r="E19" s="2">
        <f>IF(INDEX(EquipmentInfo[KĐ cân],PlanTable[[#This Row],[I]])=0,"",INDEX(EquipmentInfo[KĐ cân],PlanTable[[#This Row],[I]]))</f>
        <v>12</v>
      </c>
      <c r="F19" s="2" t="str">
        <f>IF(INDEX(EquipmentInfo[KĐ áp kế],PlanTable[[#This Row],[I]])=0,"",INDEX(EquipmentInfo[KĐ áp kế],PlanTable[[#This Row],[I]]))</f>
        <v/>
      </c>
      <c r="G19" s="2" t="str">
        <f>IF(INDEX(EquipmentInfo[KĐ AT],PlanTable[[#This Row],[I]])=0,"",INDEX(EquipmentInfo[KĐ AT],PlanTable[[#This Row],[I]]))</f>
        <v/>
      </c>
      <c r="H19" s="2" t="str">
        <f>IF(INDEX(EquipmentInfo[HC],PlanTable[[#This Row],[I]])=0,"",INDEX(EquipmentInfo[HC],PlanTable[[#This Row],[I]]))</f>
        <v/>
      </c>
      <c r="I19" s="2" t="str">
        <f>IF(INDEX(EquipmentInfo[BT],PlanTable[[#This Row],[I]])=0,"",INDEX(EquipmentInfo[BT],PlanTable[[#This Row],[I]]))</f>
        <v/>
      </c>
      <c r="J19" s="2" t="str">
        <f>IF(INDEX(EquipmentInfo[PQ],PlanTable[[#This Row],[I]])=0,"",INDEX(EquipmentInfo[PQ],PlanTable[[#This Row],[I]]))</f>
        <v/>
      </c>
      <c r="K19" s="2"/>
      <c r="L19" s="2"/>
      <c r="M19" s="2" t="s">
        <v>17</v>
      </c>
      <c r="N19" s="2"/>
      <c r="O19" s="2"/>
      <c r="P19" s="2"/>
      <c r="Q19" s="2"/>
      <c r="R19" s="2"/>
      <c r="S19" s="2"/>
      <c r="T19" s="2"/>
      <c r="U19" s="2"/>
      <c r="V19" s="2"/>
      <c r="W19" s="2" t="str">
        <f>IF(INDEX(EquipmentInfo[Thuê CQ],PlanTable[[#This Row],[I]])=0,"",INDEX(EquipmentInfo[Thuê CQ],PlanTable[[#This Row],[I]]))</f>
        <v/>
      </c>
      <c r="X19" s="2" t="str">
        <f>INDEX(EquipmentInfo[Người phụ trách],PlanTable[[#This Row],[I]])</f>
        <v>Tuấn</v>
      </c>
      <c r="Y19" s="2"/>
      <c r="Z19" s="1"/>
    </row>
    <row r="20" spans="1:26" x14ac:dyDescent="0.25">
      <c r="A20" s="2">
        <v>15</v>
      </c>
      <c r="B20" s="2">
        <f>MATCH(PlanTable[[#This Row],[Mã thiết bị]],EquipmentInfo[Mã thiết bị],0)</f>
        <v>17</v>
      </c>
      <c r="C20" s="22" t="str">
        <f>INDEX(EquipmentInfo[Tên thiết bị],MATCH(PlanTable[[#This Row],[Mã thiết bị]],EquipmentInfo[Mã thiết bị],0))</f>
        <v>Khúc xạ kế Atago DR-A1</v>
      </c>
      <c r="D20" s="2" t="s">
        <v>63</v>
      </c>
      <c r="E20" s="2" t="str">
        <f>IF(INDEX(EquipmentInfo[KĐ cân],PlanTable[[#This Row],[I]])=0,"",INDEX(EquipmentInfo[KĐ cân],PlanTable[[#This Row],[I]]))</f>
        <v/>
      </c>
      <c r="F20" s="2" t="str">
        <f>IF(INDEX(EquipmentInfo[KĐ áp kế],PlanTable[[#This Row],[I]])=0,"",INDEX(EquipmentInfo[KĐ áp kế],PlanTable[[#This Row],[I]]))</f>
        <v/>
      </c>
      <c r="G20" s="2" t="str">
        <f>IF(INDEX(EquipmentInfo[KĐ AT],PlanTable[[#This Row],[I]])=0,"",INDEX(EquipmentInfo[KĐ AT],PlanTable[[#This Row],[I]]))</f>
        <v/>
      </c>
      <c r="H20" s="2" t="str">
        <f>IF(INDEX(EquipmentInfo[HC],PlanTable[[#This Row],[I]])=0,"",INDEX(EquipmentInfo[HC],PlanTable[[#This Row],[I]]))</f>
        <v/>
      </c>
      <c r="I20" s="2">
        <f>IF(INDEX(EquipmentInfo[BT],PlanTable[[#This Row],[I]])=0,"",INDEX(EquipmentInfo[BT],PlanTable[[#This Row],[I]]))</f>
        <v>12</v>
      </c>
      <c r="J20" s="2" t="str">
        <f>IF(INDEX(EquipmentInfo[PQ],PlanTable[[#This Row],[I]])=0,"",INDEX(EquipmentInfo[PQ],PlanTable[[#This Row],[I]]))</f>
        <v/>
      </c>
      <c r="K20" s="2"/>
      <c r="L20" s="2"/>
      <c r="M20" s="2"/>
      <c r="N20" s="2"/>
      <c r="O20" s="2"/>
      <c r="P20" s="2"/>
      <c r="Q20" s="2"/>
      <c r="R20" s="2"/>
      <c r="S20" s="2" t="s">
        <v>16</v>
      </c>
      <c r="T20" s="2"/>
      <c r="U20" s="2"/>
      <c r="V20" s="2"/>
      <c r="W20" s="2" t="str">
        <f>IF(INDEX(EquipmentInfo[Thuê CQ],PlanTable[[#This Row],[I]])=0,"",INDEX(EquipmentInfo[Thuê CQ],PlanTable[[#This Row],[I]]))</f>
        <v/>
      </c>
      <c r="X20" s="2" t="str">
        <f>INDEX(EquipmentInfo[Người phụ trách],PlanTable[[#This Row],[I]])</f>
        <v>Cường</v>
      </c>
      <c r="Y20" s="2"/>
      <c r="Z20" s="1"/>
    </row>
    <row r="21" spans="1:26" x14ac:dyDescent="0.25">
      <c r="A21" s="2">
        <v>16</v>
      </c>
      <c r="B21" s="2">
        <f>MATCH(PlanTable[[#This Row],[Mã thiết bị]],EquipmentInfo[Mã thiết bị],0)</f>
        <v>18</v>
      </c>
      <c r="C21" s="22" t="str">
        <f>INDEX(EquipmentInfo[Tên thiết bị],MATCH(PlanTable[[#This Row],[Mã thiết bị]],EquipmentInfo[Mã thiết bị],0))</f>
        <v>Tủ sấy Memmert UE400</v>
      </c>
      <c r="D21" s="2" t="s">
        <v>64</v>
      </c>
      <c r="E21" s="2" t="str">
        <f>IF(INDEX(EquipmentInfo[KĐ cân],PlanTable[[#This Row],[I]])=0,"",INDEX(EquipmentInfo[KĐ cân],PlanTable[[#This Row],[I]]))</f>
        <v/>
      </c>
      <c r="F21" s="2" t="str">
        <f>IF(INDEX(EquipmentInfo[KĐ áp kế],PlanTable[[#This Row],[I]])=0,"",INDEX(EquipmentInfo[KĐ áp kế],PlanTable[[#This Row],[I]]))</f>
        <v/>
      </c>
      <c r="G21" s="2" t="str">
        <f>IF(INDEX(EquipmentInfo[KĐ AT],PlanTable[[#This Row],[I]])=0,"",INDEX(EquipmentInfo[KĐ AT],PlanTable[[#This Row],[I]]))</f>
        <v/>
      </c>
      <c r="H21" s="2">
        <f>IF(INDEX(EquipmentInfo[HC],PlanTable[[#This Row],[I]])=0,"",INDEX(EquipmentInfo[HC],PlanTable[[#This Row],[I]]))</f>
        <v>12</v>
      </c>
      <c r="I21" s="2" t="str">
        <f>IF(INDEX(EquipmentInfo[BT],PlanTable[[#This Row],[I]])=0,"",INDEX(EquipmentInfo[BT],PlanTable[[#This Row],[I]]))</f>
        <v/>
      </c>
      <c r="J21" s="2" t="str">
        <f>IF(INDEX(EquipmentInfo[PQ],PlanTable[[#This Row],[I]])=0,"",INDEX(EquipmentInfo[PQ],PlanTable[[#This Row],[I]]))</f>
        <v/>
      </c>
      <c r="K21" s="2"/>
      <c r="L21" s="2"/>
      <c r="M21" s="2"/>
      <c r="N21" s="2"/>
      <c r="O21" s="2"/>
      <c r="P21" s="2"/>
      <c r="Q21" s="2" t="s">
        <v>15</v>
      </c>
      <c r="R21" s="2"/>
      <c r="S21" s="2"/>
      <c r="T21" s="2"/>
      <c r="U21" s="2"/>
      <c r="V21" s="2"/>
      <c r="W21" s="2" t="str">
        <f>IF(INDEX(EquipmentInfo[Thuê CQ],PlanTable[[#This Row],[I]])=0,"",INDEX(EquipmentInfo[Thuê CQ],PlanTable[[#This Row],[I]]))</f>
        <v>x</v>
      </c>
      <c r="X21" s="2" t="str">
        <f>INDEX(EquipmentInfo[Người phụ trách],PlanTable[[#This Row],[I]])</f>
        <v>Tuấn</v>
      </c>
      <c r="Y21" s="2"/>
      <c r="Z21" s="1"/>
    </row>
    <row r="22" spans="1:26" x14ac:dyDescent="0.25">
      <c r="A22" s="2">
        <v>17</v>
      </c>
      <c r="B22" s="2">
        <f>MATCH(PlanTable[[#This Row],[Mã thiết bị]],EquipmentInfo[Mã thiết bị],0)</f>
        <v>19</v>
      </c>
      <c r="C22" s="22" t="str">
        <f>INDEX(EquipmentInfo[Tên thiết bị],MATCH(PlanTable[[#This Row],[Mã thiết bị]],EquipmentInfo[Mã thiết bị],0))</f>
        <v>Máy lắc ống nghiệm Velp</v>
      </c>
      <c r="D22" s="2" t="s">
        <v>67</v>
      </c>
      <c r="E22" s="2" t="str">
        <f>IF(INDEX(EquipmentInfo[KĐ cân],PlanTable[[#This Row],[I]])=0,"",INDEX(EquipmentInfo[KĐ cân],PlanTable[[#This Row],[I]]))</f>
        <v/>
      </c>
      <c r="F22" s="2" t="str">
        <f>IF(INDEX(EquipmentInfo[KĐ áp kế],PlanTable[[#This Row],[I]])=0,"",INDEX(EquipmentInfo[KĐ áp kế],PlanTable[[#This Row],[I]]))</f>
        <v/>
      </c>
      <c r="G22" s="2" t="str">
        <f>IF(INDEX(EquipmentInfo[KĐ AT],PlanTable[[#This Row],[I]])=0,"",INDEX(EquipmentInfo[KĐ AT],PlanTable[[#This Row],[I]]))</f>
        <v/>
      </c>
      <c r="H22" s="2" t="str">
        <f>IF(INDEX(EquipmentInfo[HC],PlanTable[[#This Row],[I]])=0,"",INDEX(EquipmentInfo[HC],PlanTable[[#This Row],[I]]))</f>
        <v/>
      </c>
      <c r="I22" s="2">
        <f>IF(INDEX(EquipmentInfo[BT],PlanTable[[#This Row],[I]])=0,"",INDEX(EquipmentInfo[BT],PlanTable[[#This Row],[I]]))</f>
        <v>12</v>
      </c>
      <c r="J22" s="2" t="str">
        <f>IF(INDEX(EquipmentInfo[PQ],PlanTable[[#This Row],[I]])=0,"",INDEX(EquipmentInfo[PQ],PlanTable[[#This Row],[I]]))</f>
        <v/>
      </c>
      <c r="K22" s="2"/>
      <c r="L22" s="2" t="s">
        <v>16</v>
      </c>
      <c r="M22" s="2"/>
      <c r="N22" s="2"/>
      <c r="O22" s="2"/>
      <c r="P22" s="2"/>
      <c r="Q22" s="2"/>
      <c r="R22" s="2"/>
      <c r="S22" s="2"/>
      <c r="T22" s="2"/>
      <c r="U22" s="2"/>
      <c r="V22" s="2"/>
      <c r="W22" s="2" t="str">
        <f>IF(INDEX(EquipmentInfo[Thuê CQ],PlanTable[[#This Row],[I]])=0,"",INDEX(EquipmentInfo[Thuê CQ],PlanTable[[#This Row],[I]]))</f>
        <v/>
      </c>
      <c r="X22" s="2" t="str">
        <f>INDEX(EquipmentInfo[Người phụ trách],PlanTable[[#This Row],[I]])</f>
        <v>Thắm</v>
      </c>
      <c r="Y22" s="2"/>
      <c r="Z22" s="1"/>
    </row>
    <row r="23" spans="1:26" x14ac:dyDescent="0.25">
      <c r="A23" s="2">
        <v>18</v>
      </c>
      <c r="B23" s="2">
        <f>MATCH(PlanTable[[#This Row],[Mã thiết bị]],EquipmentInfo[Mã thiết bị],0)</f>
        <v>20</v>
      </c>
      <c r="C23" s="22" t="str">
        <f>INDEX(EquipmentInfo[Tên thiết bị],MATCH(PlanTable[[#This Row],[Mã thiết bị]],EquipmentInfo[Mã thiết bị],0))</f>
        <v>Tủ sấy Memmert UM500</v>
      </c>
      <c r="D23" s="2" t="s">
        <v>68</v>
      </c>
      <c r="E23" s="2" t="str">
        <f>IF(INDEX(EquipmentInfo[KĐ cân],PlanTable[[#This Row],[I]])=0,"",INDEX(EquipmentInfo[KĐ cân],PlanTable[[#This Row],[I]]))</f>
        <v/>
      </c>
      <c r="F23" s="2" t="str">
        <f>IF(INDEX(EquipmentInfo[KĐ áp kế],PlanTable[[#This Row],[I]])=0,"",INDEX(EquipmentInfo[KĐ áp kế],PlanTable[[#This Row],[I]]))</f>
        <v/>
      </c>
      <c r="G23" s="2" t="str">
        <f>IF(INDEX(EquipmentInfo[KĐ AT],PlanTable[[#This Row],[I]])=0,"",INDEX(EquipmentInfo[KĐ AT],PlanTable[[#This Row],[I]]))</f>
        <v/>
      </c>
      <c r="H23" s="2">
        <f>IF(INDEX(EquipmentInfo[HC],PlanTable[[#This Row],[I]])=0,"",INDEX(EquipmentInfo[HC],PlanTable[[#This Row],[I]]))</f>
        <v>12</v>
      </c>
      <c r="I23" s="2" t="str">
        <f>IF(INDEX(EquipmentInfo[BT],PlanTable[[#This Row],[I]])=0,"",INDEX(EquipmentInfo[BT],PlanTable[[#This Row],[I]]))</f>
        <v/>
      </c>
      <c r="J23" s="2" t="str">
        <f>IF(INDEX(EquipmentInfo[PQ],PlanTable[[#This Row],[I]])=0,"",INDEX(EquipmentInfo[PQ],PlanTable[[#This Row],[I]]))</f>
        <v/>
      </c>
      <c r="K23" s="2"/>
      <c r="L23" s="2"/>
      <c r="M23" s="2"/>
      <c r="N23" s="2"/>
      <c r="O23" s="2"/>
      <c r="P23" s="2"/>
      <c r="Q23" s="2"/>
      <c r="R23" s="2" t="s">
        <v>15</v>
      </c>
      <c r="S23" s="2"/>
      <c r="T23" s="2"/>
      <c r="U23" s="2"/>
      <c r="V23" s="2"/>
      <c r="W23" s="2" t="str">
        <f>IF(INDEX(EquipmentInfo[Thuê CQ],PlanTable[[#This Row],[I]])=0,"",INDEX(EquipmentInfo[Thuê CQ],PlanTable[[#This Row],[I]]))</f>
        <v>x</v>
      </c>
      <c r="X23" s="2" t="str">
        <f>INDEX(EquipmentInfo[Người phụ trách],PlanTable[[#This Row],[I]])</f>
        <v>Vân</v>
      </c>
      <c r="Y23" s="2"/>
      <c r="Z23" s="1"/>
    </row>
    <row r="24" spans="1:26" x14ac:dyDescent="0.25">
      <c r="A24" s="2">
        <v>19</v>
      </c>
      <c r="B24" s="2">
        <f>MATCH(PlanTable[[#This Row],[Mã thiết bị]],EquipmentInfo[Mã thiết bị],0)</f>
        <v>21</v>
      </c>
      <c r="C24" s="22" t="str">
        <f>INDEX(EquipmentInfo[Tên thiết bị],MATCH(PlanTable[[#This Row],[Mã thiết bị]],EquipmentInfo[Mã thiết bị],0))</f>
        <v>Máy cất quay Buchi R3</v>
      </c>
      <c r="D24" s="2" t="s">
        <v>69</v>
      </c>
      <c r="E24" s="2" t="str">
        <f>IF(INDEX(EquipmentInfo[KĐ cân],PlanTable[[#This Row],[I]])=0,"",INDEX(EquipmentInfo[KĐ cân],PlanTable[[#This Row],[I]]))</f>
        <v/>
      </c>
      <c r="F24" s="2" t="str">
        <f>IF(INDEX(EquipmentInfo[KĐ áp kế],PlanTable[[#This Row],[I]])=0,"",INDEX(EquipmentInfo[KĐ áp kế],PlanTable[[#This Row],[I]]))</f>
        <v/>
      </c>
      <c r="G24" s="2" t="str">
        <f>IF(INDEX(EquipmentInfo[KĐ AT],PlanTable[[#This Row],[I]])=0,"",INDEX(EquipmentInfo[KĐ AT],PlanTable[[#This Row],[I]]))</f>
        <v/>
      </c>
      <c r="H24" s="2" t="str">
        <f>IF(INDEX(EquipmentInfo[HC],PlanTable[[#This Row],[I]])=0,"",INDEX(EquipmentInfo[HC],PlanTable[[#This Row],[I]]))</f>
        <v/>
      </c>
      <c r="I24" s="2">
        <f>IF(INDEX(EquipmentInfo[BT],PlanTable[[#This Row],[I]])=0,"",INDEX(EquipmentInfo[BT],PlanTable[[#This Row],[I]]))</f>
        <v>12</v>
      </c>
      <c r="J24" s="2" t="str">
        <f>IF(INDEX(EquipmentInfo[PQ],PlanTable[[#This Row],[I]])=0,"",INDEX(EquipmentInfo[PQ],PlanTable[[#This Row],[I]]))</f>
        <v/>
      </c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 t="s">
        <v>16</v>
      </c>
      <c r="W24" s="2" t="str">
        <f>IF(INDEX(EquipmentInfo[Thuê CQ],PlanTable[[#This Row],[I]])=0,"",INDEX(EquipmentInfo[Thuê CQ],PlanTable[[#This Row],[I]]))</f>
        <v/>
      </c>
      <c r="X24" s="2" t="str">
        <f>INDEX(EquipmentInfo[Người phụ trách],PlanTable[[#This Row],[I]])</f>
        <v>Cường</v>
      </c>
      <c r="Y24" s="2"/>
      <c r="Z24" s="1"/>
    </row>
    <row r="25" spans="1:26" ht="45" x14ac:dyDescent="0.25">
      <c r="A25" s="2">
        <v>20</v>
      </c>
      <c r="B25" s="2">
        <f>MATCH(PlanTable[[#This Row],[Mã thiết bị]],EquipmentInfo[Mã thiết bị],0)</f>
        <v>22</v>
      </c>
      <c r="C25" s="22" t="str">
        <f>INDEX(EquipmentInfo[Tên thiết bị],MATCH(PlanTable[[#This Row],[Mã thiết bị]],EquipmentInfo[Mã thiết bị],0))</f>
        <v>Tủ sấy chân không Vacucell</v>
      </c>
      <c r="D25" s="2" t="s">
        <v>70</v>
      </c>
      <c r="E25" s="2" t="str">
        <f>IF(INDEX(EquipmentInfo[KĐ cân],PlanTable[[#This Row],[I]])=0,"",INDEX(EquipmentInfo[KĐ cân],PlanTable[[#This Row],[I]]))</f>
        <v/>
      </c>
      <c r="F25" s="2">
        <f>IF(INDEX(EquipmentInfo[KĐ áp kế],PlanTable[[#This Row],[I]])=0,"",INDEX(EquipmentInfo[KĐ áp kế],PlanTable[[#This Row],[I]]))</f>
        <v>12</v>
      </c>
      <c r="G25" s="2" t="str">
        <f>IF(INDEX(EquipmentInfo[KĐ AT],PlanTable[[#This Row],[I]])=0,"",INDEX(EquipmentInfo[KĐ AT],PlanTable[[#This Row],[I]]))</f>
        <v/>
      </c>
      <c r="H25" s="2">
        <f>IF(INDEX(EquipmentInfo[HC],PlanTable[[#This Row],[I]])=0,"",INDEX(EquipmentInfo[HC],PlanTable[[#This Row],[I]]))</f>
        <v>12</v>
      </c>
      <c r="I25" s="2" t="str">
        <f>IF(INDEX(EquipmentInfo[BT],PlanTable[[#This Row],[I]])=0,"",INDEX(EquipmentInfo[BT],PlanTable[[#This Row],[I]]))</f>
        <v/>
      </c>
      <c r="J25" s="2" t="str">
        <f>IF(INDEX(EquipmentInfo[PQ],PlanTable[[#This Row],[I]])=0,"",INDEX(EquipmentInfo[PQ],PlanTable[[#This Row],[I]]))</f>
        <v/>
      </c>
      <c r="K25" s="2"/>
      <c r="L25" s="2"/>
      <c r="M25" s="2"/>
      <c r="N25" s="2" t="s">
        <v>27</v>
      </c>
      <c r="O25" s="2"/>
      <c r="P25" s="2"/>
      <c r="Q25" s="2" t="s">
        <v>15</v>
      </c>
      <c r="R25" s="2"/>
      <c r="S25" s="2"/>
      <c r="T25" s="2"/>
      <c r="U25" s="2"/>
      <c r="V25" s="2"/>
      <c r="W25" s="2" t="str">
        <f>IF(INDEX(EquipmentInfo[Thuê CQ],PlanTable[[#This Row],[I]])=0,"",INDEX(EquipmentInfo[Thuê CQ],PlanTable[[#This Row],[I]]))</f>
        <v>x</v>
      </c>
      <c r="X25" s="2" t="str">
        <f>INDEX(EquipmentInfo[Người phụ trách],PlanTable[[#This Row],[I]])</f>
        <v>Cường</v>
      </c>
      <c r="Y25" s="2"/>
      <c r="Z25" s="1"/>
    </row>
    <row r="26" spans="1:26" x14ac:dyDescent="0.25">
      <c r="A26" s="2">
        <v>21</v>
      </c>
      <c r="B26" s="2">
        <f>MATCH(PlanTable[[#This Row],[Mã thiết bị]],EquipmentInfo[Mã thiết bị],0)</f>
        <v>23</v>
      </c>
      <c r="C26" s="22" t="str">
        <f>INDEX(EquipmentInfo[Tên thiết bị],MATCH(PlanTable[[#This Row],[Mã thiết bị]],EquipmentInfo[Mã thiết bị],0))</f>
        <v>Phòng sạch (Phòng lấy mẫu)</v>
      </c>
      <c r="D26" s="2" t="s">
        <v>71</v>
      </c>
      <c r="E26" s="2" t="str">
        <f>IF(INDEX(EquipmentInfo[KĐ cân],PlanTable[[#This Row],[I]])=0,"",INDEX(EquipmentInfo[KĐ cân],PlanTable[[#This Row],[I]]))</f>
        <v/>
      </c>
      <c r="F26" s="2" t="str">
        <f>IF(INDEX(EquipmentInfo[KĐ áp kế],PlanTable[[#This Row],[I]])=0,"",INDEX(EquipmentInfo[KĐ áp kế],PlanTable[[#This Row],[I]]))</f>
        <v/>
      </c>
      <c r="G26" s="2" t="str">
        <f>IF(INDEX(EquipmentInfo[KĐ AT],PlanTable[[#This Row],[I]])=0,"",INDEX(EquipmentInfo[KĐ AT],PlanTable[[#This Row],[I]]))</f>
        <v/>
      </c>
      <c r="H26" s="2" t="str">
        <f>IF(INDEX(EquipmentInfo[HC],PlanTable[[#This Row],[I]])=0,"",INDEX(EquipmentInfo[HC],PlanTable[[#This Row],[I]]))</f>
        <v/>
      </c>
      <c r="I26" s="2">
        <f>IF(INDEX(EquipmentInfo[BT],PlanTable[[#This Row],[I]])=0,"",INDEX(EquipmentInfo[BT],PlanTable[[#This Row],[I]]))</f>
        <v>12</v>
      </c>
      <c r="J26" s="2" t="str">
        <f>IF(INDEX(EquipmentInfo[PQ],PlanTable[[#This Row],[I]])=0,"",INDEX(EquipmentInfo[PQ],PlanTable[[#This Row],[I]]))</f>
        <v/>
      </c>
      <c r="K26" s="2"/>
      <c r="L26" s="2"/>
      <c r="M26" s="2"/>
      <c r="N26" s="2" t="s">
        <v>16</v>
      </c>
      <c r="O26" s="2"/>
      <c r="P26" s="2"/>
      <c r="Q26" s="2"/>
      <c r="R26" s="2"/>
      <c r="S26" s="2"/>
      <c r="T26" s="2"/>
      <c r="U26" s="2"/>
      <c r="V26" s="2"/>
      <c r="W26" s="2" t="str">
        <f>IF(INDEX(EquipmentInfo[Thuê CQ],PlanTable[[#This Row],[I]])=0,"",INDEX(EquipmentInfo[Thuê CQ],PlanTable[[#This Row],[I]]))</f>
        <v/>
      </c>
      <c r="X26" s="2" t="str">
        <f>INDEX(EquipmentInfo[Người phụ trách],PlanTable[[#This Row],[I]])</f>
        <v>Đỗ Hà</v>
      </c>
      <c r="Y26" s="2"/>
      <c r="Z26" s="1"/>
    </row>
    <row r="27" spans="1:26" x14ac:dyDescent="0.25">
      <c r="A27" s="2">
        <v>22</v>
      </c>
      <c r="B27" s="2">
        <f>MATCH(PlanTable[[#This Row],[Mã thiết bị]],EquipmentInfo[Mã thiết bị],0)</f>
        <v>24</v>
      </c>
      <c r="C27" s="22" t="str">
        <f>INDEX(EquipmentInfo[Tên thiết bị],MATCH(PlanTable[[#This Row],[Mã thiết bị]],EquipmentInfo[Mã thiết bị],0))</f>
        <v>Tủ lạnh Daewoo</v>
      </c>
      <c r="D27" s="2" t="s">
        <v>72</v>
      </c>
      <c r="E27" s="2" t="str">
        <f>IF(INDEX(EquipmentInfo[KĐ cân],PlanTable[[#This Row],[I]])=0,"",INDEX(EquipmentInfo[KĐ cân],PlanTable[[#This Row],[I]]))</f>
        <v/>
      </c>
      <c r="F27" s="2" t="str">
        <f>IF(INDEX(EquipmentInfo[KĐ áp kế],PlanTable[[#This Row],[I]])=0,"",INDEX(EquipmentInfo[KĐ áp kế],PlanTable[[#This Row],[I]]))</f>
        <v/>
      </c>
      <c r="G27" s="2" t="str">
        <f>IF(INDEX(EquipmentInfo[KĐ AT],PlanTable[[#This Row],[I]])=0,"",INDEX(EquipmentInfo[KĐ AT],PlanTable[[#This Row],[I]]))</f>
        <v/>
      </c>
      <c r="H27" s="2">
        <f>IF(INDEX(EquipmentInfo[HC],PlanTable[[#This Row],[I]])=0,"",INDEX(EquipmentInfo[HC],PlanTable[[#This Row],[I]]))</f>
        <v>12</v>
      </c>
      <c r="I27" s="2" t="str">
        <f>IF(INDEX(EquipmentInfo[BT],PlanTable[[#This Row],[I]])=0,"",INDEX(EquipmentInfo[BT],PlanTable[[#This Row],[I]]))</f>
        <v/>
      </c>
      <c r="J27" s="2" t="str">
        <f>IF(INDEX(EquipmentInfo[PQ],PlanTable[[#This Row],[I]])=0,"",INDEX(EquipmentInfo[PQ],PlanTable[[#This Row],[I]]))</f>
        <v/>
      </c>
      <c r="K27" s="2"/>
      <c r="L27" s="2"/>
      <c r="M27" s="2"/>
      <c r="N27" s="2"/>
      <c r="O27" s="2"/>
      <c r="P27" s="2"/>
      <c r="Q27" s="2" t="s">
        <v>15</v>
      </c>
      <c r="R27" s="2"/>
      <c r="S27" s="2"/>
      <c r="T27" s="2"/>
      <c r="U27" s="2"/>
      <c r="V27" s="2"/>
      <c r="W27" s="2" t="str">
        <f>IF(INDEX(EquipmentInfo[Thuê CQ],PlanTable[[#This Row],[I]])=0,"",INDEX(EquipmentInfo[Thuê CQ],PlanTable[[#This Row],[I]]))</f>
        <v/>
      </c>
      <c r="X27" s="2" t="str">
        <f>INDEX(EquipmentInfo[Người phụ trách],PlanTable[[#This Row],[I]])</f>
        <v>Vân</v>
      </c>
      <c r="Y27" s="2"/>
      <c r="Z27" s="1"/>
    </row>
    <row r="28" spans="1:26" x14ac:dyDescent="0.25">
      <c r="A28" s="2">
        <v>23</v>
      </c>
      <c r="B28" s="2">
        <f>MATCH(PlanTable[[#This Row],[Mã thiết bị]],EquipmentInfo[Mã thiết bị],0)</f>
        <v>25</v>
      </c>
      <c r="C28" s="22" t="str">
        <f>INDEX(EquipmentInfo[Tên thiết bị],MATCH(PlanTable[[#This Row],[Mã thiết bị]],EquipmentInfo[Mã thiết bị],0))</f>
        <v>Cân Quintix 224-1S</v>
      </c>
      <c r="D28" s="2" t="s">
        <v>73</v>
      </c>
      <c r="E28" s="2">
        <f>IF(INDEX(EquipmentInfo[KĐ cân],PlanTable[[#This Row],[I]])=0,"",INDEX(EquipmentInfo[KĐ cân],PlanTable[[#This Row],[I]]))</f>
        <v>12</v>
      </c>
      <c r="F28" s="2" t="str">
        <f>IF(INDEX(EquipmentInfo[KĐ áp kế],PlanTable[[#This Row],[I]])=0,"",INDEX(EquipmentInfo[KĐ áp kế],PlanTable[[#This Row],[I]]))</f>
        <v/>
      </c>
      <c r="G28" s="2" t="str">
        <f>IF(INDEX(EquipmentInfo[KĐ AT],PlanTable[[#This Row],[I]])=0,"",INDEX(EquipmentInfo[KĐ AT],PlanTable[[#This Row],[I]]))</f>
        <v/>
      </c>
      <c r="H28" s="2">
        <f>IF(INDEX(EquipmentInfo[HC],PlanTable[[#This Row],[I]])=0,"",INDEX(EquipmentInfo[HC],PlanTable[[#This Row],[I]]))</f>
        <v>12</v>
      </c>
      <c r="I28" s="2">
        <f>IF(INDEX(EquipmentInfo[BT],PlanTable[[#This Row],[I]])=0,"",INDEX(EquipmentInfo[BT],PlanTable[[#This Row],[I]]))</f>
        <v>3</v>
      </c>
      <c r="J28" s="2" t="str">
        <f>IF(INDEX(EquipmentInfo[PQ],PlanTable[[#This Row],[I]])=0,"",INDEX(EquipmentInfo[PQ],PlanTable[[#This Row],[I]]))</f>
        <v/>
      </c>
      <c r="K28" s="2" t="s">
        <v>16</v>
      </c>
      <c r="L28" s="2"/>
      <c r="M28" s="2" t="s">
        <v>17</v>
      </c>
      <c r="N28" s="2" t="s">
        <v>16</v>
      </c>
      <c r="O28" s="2"/>
      <c r="P28" s="2"/>
      <c r="Q28" s="2" t="s">
        <v>15</v>
      </c>
      <c r="R28" s="2"/>
      <c r="S28" s="2"/>
      <c r="T28" s="2" t="s">
        <v>16</v>
      </c>
      <c r="U28" s="2"/>
      <c r="V28" s="2"/>
      <c r="W28" s="2" t="str">
        <f>IF(INDEX(EquipmentInfo[Thuê CQ],PlanTable[[#This Row],[I]])=0,"",INDEX(EquipmentInfo[Thuê CQ],PlanTable[[#This Row],[I]]))</f>
        <v>x</v>
      </c>
      <c r="X28" s="2" t="str">
        <f>INDEX(EquipmentInfo[Người phụ trách],PlanTable[[#This Row],[I]])</f>
        <v>Lan</v>
      </c>
      <c r="Y28" s="2"/>
      <c r="Z28" s="1"/>
    </row>
    <row r="29" spans="1:26" x14ac:dyDescent="0.25">
      <c r="A29" s="2">
        <v>24</v>
      </c>
      <c r="B29" s="2">
        <f>MATCH(PlanTable[[#This Row],[Mã thiết bị]],EquipmentInfo[Mã thiết bị],0)</f>
        <v>26</v>
      </c>
      <c r="C29" s="22" t="str">
        <f>INDEX(EquipmentInfo[Tên thiết bị],MATCH(PlanTable[[#This Row],[Mã thiết bị]],EquipmentInfo[Mã thiết bị],0))</f>
        <v>Vòi cấp cứu</v>
      </c>
      <c r="D29" s="2" t="s">
        <v>74</v>
      </c>
      <c r="E29" s="2" t="str">
        <f>IF(INDEX(EquipmentInfo[KĐ cân],PlanTable[[#This Row],[I]])=0,"",INDEX(EquipmentInfo[KĐ cân],PlanTable[[#This Row],[I]]))</f>
        <v/>
      </c>
      <c r="F29" s="2" t="str">
        <f>IF(INDEX(EquipmentInfo[KĐ áp kế],PlanTable[[#This Row],[I]])=0,"",INDEX(EquipmentInfo[KĐ áp kế],PlanTable[[#This Row],[I]]))</f>
        <v/>
      </c>
      <c r="G29" s="2" t="str">
        <f>IF(INDEX(EquipmentInfo[KĐ AT],PlanTable[[#This Row],[I]])=0,"",INDEX(EquipmentInfo[KĐ AT],PlanTable[[#This Row],[I]]))</f>
        <v/>
      </c>
      <c r="H29" s="2" t="str">
        <f>IF(INDEX(EquipmentInfo[HC],PlanTable[[#This Row],[I]])=0,"",INDEX(EquipmentInfo[HC],PlanTable[[#This Row],[I]]))</f>
        <v/>
      </c>
      <c r="I29" s="2">
        <f>IF(INDEX(EquipmentInfo[BT],PlanTable[[#This Row],[I]])=0,"",INDEX(EquipmentInfo[BT],PlanTable[[#This Row],[I]]))</f>
        <v>1</v>
      </c>
      <c r="J29" s="2" t="str">
        <f>IF(INDEX(EquipmentInfo[PQ],PlanTable[[#This Row],[I]])=0,"",INDEX(EquipmentInfo[PQ],PlanTable[[#This Row],[I]]))</f>
        <v/>
      </c>
      <c r="K29" s="2" t="s">
        <v>16</v>
      </c>
      <c r="L29" s="2" t="s">
        <v>16</v>
      </c>
      <c r="M29" s="2" t="s">
        <v>16</v>
      </c>
      <c r="N29" s="2" t="s">
        <v>16</v>
      </c>
      <c r="O29" s="2" t="s">
        <v>16</v>
      </c>
      <c r="P29" s="2" t="s">
        <v>16</v>
      </c>
      <c r="Q29" s="2" t="s">
        <v>16</v>
      </c>
      <c r="R29" s="2" t="s">
        <v>16</v>
      </c>
      <c r="S29" s="2" t="s">
        <v>16</v>
      </c>
      <c r="T29" s="2" t="s">
        <v>16</v>
      </c>
      <c r="U29" s="2" t="s">
        <v>16</v>
      </c>
      <c r="V29" s="2" t="s">
        <v>16</v>
      </c>
      <c r="W29" s="2" t="str">
        <f>IF(INDEX(EquipmentInfo[Thuê CQ],PlanTable[[#This Row],[I]])=0,"",INDEX(EquipmentInfo[Thuê CQ],PlanTable[[#This Row],[I]]))</f>
        <v/>
      </c>
      <c r="X29" s="2" t="str">
        <f>INDEX(EquipmentInfo[Người phụ trách],PlanTable[[#This Row],[I]])</f>
        <v>Ngọc</v>
      </c>
      <c r="Y29" s="2"/>
      <c r="Z29" s="1"/>
    </row>
    <row r="30" spans="1:26" x14ac:dyDescent="0.25">
      <c r="A30" s="2">
        <v>25</v>
      </c>
      <c r="B30" s="2">
        <f>MATCH(PlanTable[[#This Row],[Mã thiết bị]],EquipmentInfo[Mã thiết bị],0)</f>
        <v>27</v>
      </c>
      <c r="C30" s="22" t="str">
        <f>INDEX(EquipmentInfo[Tên thiết bị],MATCH(PlanTable[[#This Row],[Mã thiết bị]],EquipmentInfo[Mã thiết bị],0))</f>
        <v>Cân đo hàm ẩm Satorius MA150</v>
      </c>
      <c r="D30" s="2" t="s">
        <v>75</v>
      </c>
      <c r="E30" s="2">
        <f>IF(INDEX(EquipmentInfo[KĐ cân],PlanTable[[#This Row],[I]])=0,"",INDEX(EquipmentInfo[KĐ cân],PlanTable[[#This Row],[I]]))</f>
        <v>12</v>
      </c>
      <c r="F30" s="2" t="str">
        <f>IF(INDEX(EquipmentInfo[KĐ áp kế],PlanTable[[#This Row],[I]])=0,"",INDEX(EquipmentInfo[KĐ áp kế],PlanTable[[#This Row],[I]]))</f>
        <v/>
      </c>
      <c r="G30" s="2" t="str">
        <f>IF(INDEX(EquipmentInfo[KĐ AT],PlanTable[[#This Row],[I]])=0,"",INDEX(EquipmentInfo[KĐ AT],PlanTable[[#This Row],[I]]))</f>
        <v/>
      </c>
      <c r="H30" s="2">
        <f>IF(INDEX(EquipmentInfo[HC],PlanTable[[#This Row],[I]])=0,"",INDEX(EquipmentInfo[HC],PlanTable[[#This Row],[I]]))</f>
        <v>12</v>
      </c>
      <c r="I30" s="2">
        <f>IF(INDEX(EquipmentInfo[BT],PlanTable[[#This Row],[I]])=0,"",INDEX(EquipmentInfo[BT],PlanTable[[#This Row],[I]]))</f>
        <v>3</v>
      </c>
      <c r="J30" s="2" t="str">
        <f>IF(INDEX(EquipmentInfo[PQ],PlanTable[[#This Row],[I]])=0,"",INDEX(EquipmentInfo[PQ],PlanTable[[#This Row],[I]]))</f>
        <v/>
      </c>
      <c r="K30" s="2" t="s">
        <v>16</v>
      </c>
      <c r="L30" s="2"/>
      <c r="M30" s="2" t="s">
        <v>17</v>
      </c>
      <c r="N30" s="2" t="s">
        <v>16</v>
      </c>
      <c r="O30" s="2"/>
      <c r="P30" s="2"/>
      <c r="Q30" s="2" t="s">
        <v>15</v>
      </c>
      <c r="R30" s="2"/>
      <c r="S30" s="2"/>
      <c r="T30" s="2" t="s">
        <v>16</v>
      </c>
      <c r="U30" s="2"/>
      <c r="V30" s="2"/>
      <c r="W30" s="2" t="str">
        <f>IF(INDEX(EquipmentInfo[Thuê CQ],PlanTable[[#This Row],[I]])=0,"",INDEX(EquipmentInfo[Thuê CQ],PlanTable[[#This Row],[I]]))</f>
        <v>x</v>
      </c>
      <c r="X30" s="2" t="str">
        <f>INDEX(EquipmentInfo[Người phụ trách],PlanTable[[#This Row],[I]])</f>
        <v>Lan</v>
      </c>
      <c r="Y30" s="2"/>
      <c r="Z30" s="1"/>
    </row>
    <row r="31" spans="1:26" x14ac:dyDescent="0.25">
      <c r="A31" s="2">
        <v>26</v>
      </c>
      <c r="B31" s="2">
        <f>MATCH(PlanTable[[#This Row],[Mã thiết bị]],EquipmentInfo[Mã thiết bị],0)</f>
        <v>28</v>
      </c>
      <c r="C31" s="22" t="str">
        <f>INDEX(EquipmentInfo[Tên thiết bị],MATCH(PlanTable[[#This Row],[Mã thiết bị]],EquipmentInfo[Mã thiết bị],0))</f>
        <v>Thước kẹp Mitutoyo</v>
      </c>
      <c r="D31" s="2" t="s">
        <v>76</v>
      </c>
      <c r="E31" s="2" t="str">
        <f>IF(INDEX(EquipmentInfo[KĐ cân],PlanTable[[#This Row],[I]])=0,"",INDEX(EquipmentInfo[KĐ cân],PlanTable[[#This Row],[I]]))</f>
        <v/>
      </c>
      <c r="F31" s="2" t="str">
        <f>IF(INDEX(EquipmentInfo[KĐ áp kế],PlanTable[[#This Row],[I]])=0,"",INDEX(EquipmentInfo[KĐ áp kế],PlanTable[[#This Row],[I]]))</f>
        <v/>
      </c>
      <c r="G31" s="2" t="str">
        <f>IF(INDEX(EquipmentInfo[KĐ AT],PlanTable[[#This Row],[I]])=0,"",INDEX(EquipmentInfo[KĐ AT],PlanTable[[#This Row],[I]]))</f>
        <v/>
      </c>
      <c r="H31" s="2">
        <f>IF(INDEX(EquipmentInfo[HC],PlanTable[[#This Row],[I]])=0,"",INDEX(EquipmentInfo[HC],PlanTable[[#This Row],[I]]))</f>
        <v>12</v>
      </c>
      <c r="I31" s="2" t="str">
        <f>IF(INDEX(EquipmentInfo[BT],PlanTable[[#This Row],[I]])=0,"",INDEX(EquipmentInfo[BT],PlanTable[[#This Row],[I]]))</f>
        <v/>
      </c>
      <c r="J31" s="2" t="str">
        <f>IF(INDEX(EquipmentInfo[PQ],PlanTable[[#This Row],[I]])=0,"",INDEX(EquipmentInfo[PQ],PlanTable[[#This Row],[I]]))</f>
        <v/>
      </c>
      <c r="K31" s="2"/>
      <c r="L31" s="2"/>
      <c r="M31" s="2" t="s">
        <v>15</v>
      </c>
      <c r="N31" s="2"/>
      <c r="O31" s="2"/>
      <c r="P31" s="2"/>
      <c r="Q31" s="2"/>
      <c r="R31" s="2"/>
      <c r="S31" s="2"/>
      <c r="T31" s="2"/>
      <c r="U31" s="2"/>
      <c r="V31" s="2"/>
      <c r="W31" s="2" t="str">
        <f>IF(INDEX(EquipmentInfo[Thuê CQ],PlanTable[[#This Row],[I]])=0,"",INDEX(EquipmentInfo[Thuê CQ],PlanTable[[#This Row],[I]]))</f>
        <v>x</v>
      </c>
      <c r="X31" s="2" t="str">
        <f>INDEX(EquipmentInfo[Người phụ trách],PlanTable[[#This Row],[I]])</f>
        <v>Quý</v>
      </c>
      <c r="Y31" s="2"/>
      <c r="Z31" s="1"/>
    </row>
    <row r="32" spans="1:26" ht="30" x14ac:dyDescent="0.25">
      <c r="A32" s="2">
        <v>27</v>
      </c>
      <c r="B32" s="2">
        <f>MATCH(PlanTable[[#This Row],[Mã thiết bị]],EquipmentInfo[Mã thiết bị],0)</f>
        <v>29</v>
      </c>
      <c r="C32" s="22" t="str">
        <f>INDEX(EquipmentInfo[Tên thiết bị],MATCH(PlanTable[[#This Row],[Mã thiết bị]],EquipmentInfo[Mã thiết bị],0))</f>
        <v>Máy hòa tan Pharmatest PTWS 610</v>
      </c>
      <c r="D32" s="2" t="s">
        <v>77</v>
      </c>
      <c r="E32" s="2" t="str">
        <f>IF(INDEX(EquipmentInfo[KĐ cân],PlanTable[[#This Row],[I]])=0,"",INDEX(EquipmentInfo[KĐ cân],PlanTable[[#This Row],[I]]))</f>
        <v/>
      </c>
      <c r="F32" s="2" t="str">
        <f>IF(INDEX(EquipmentInfo[KĐ áp kế],PlanTable[[#This Row],[I]])=0,"",INDEX(EquipmentInfo[KĐ áp kế],PlanTable[[#This Row],[I]]))</f>
        <v/>
      </c>
      <c r="G32" s="2" t="str">
        <f>IF(INDEX(EquipmentInfo[KĐ AT],PlanTable[[#This Row],[I]])=0,"",INDEX(EquipmentInfo[KĐ AT],PlanTable[[#This Row],[I]]))</f>
        <v/>
      </c>
      <c r="H32" s="2">
        <f>IF(INDEX(EquipmentInfo[HC],PlanTable[[#This Row],[I]])=0,"",INDEX(EquipmentInfo[HC],PlanTable[[#This Row],[I]]))</f>
        <v>12</v>
      </c>
      <c r="I32" s="2">
        <f>IF(INDEX(EquipmentInfo[BT],PlanTable[[#This Row],[I]])=0,"",INDEX(EquipmentInfo[BT],PlanTable[[#This Row],[I]]))</f>
        <v>6</v>
      </c>
      <c r="J32" s="2" t="str">
        <f>IF(INDEX(EquipmentInfo[PQ],PlanTable[[#This Row],[I]])=0,"",INDEX(EquipmentInfo[PQ],PlanTable[[#This Row],[I]]))</f>
        <v/>
      </c>
      <c r="K32" s="2"/>
      <c r="L32" s="2" t="s">
        <v>16</v>
      </c>
      <c r="M32" s="2"/>
      <c r="N32" s="2"/>
      <c r="O32" s="2"/>
      <c r="P32" s="2"/>
      <c r="Q32" s="2"/>
      <c r="R32" s="2" t="s">
        <v>150</v>
      </c>
      <c r="S32" s="2"/>
      <c r="T32" s="2"/>
      <c r="U32" s="2"/>
      <c r="V32" s="2"/>
      <c r="W32" s="2" t="str">
        <f>IF(INDEX(EquipmentInfo[Thuê CQ],PlanTable[[#This Row],[I]])=0,"",INDEX(EquipmentInfo[Thuê CQ],PlanTable[[#This Row],[I]]))</f>
        <v/>
      </c>
      <c r="X32" s="2" t="str">
        <f>INDEX(EquipmentInfo[Người phụ trách],PlanTable[[#This Row],[I]])</f>
        <v>Tuấn</v>
      </c>
      <c r="Y32" s="2"/>
      <c r="Z32" s="1"/>
    </row>
    <row r="33" spans="1:26" x14ac:dyDescent="0.25">
      <c r="A33" s="2">
        <v>28</v>
      </c>
      <c r="B33" s="2">
        <f>MATCH(PlanTable[[#This Row],[Mã thiết bị]],EquipmentInfo[Mã thiết bị],0)</f>
        <v>30</v>
      </c>
      <c r="C33" s="22" t="str">
        <f>INDEX(EquipmentInfo[Tên thiết bị],MATCH(PlanTable[[#This Row],[Mã thiết bị]],EquipmentInfo[Mã thiết bị],0))</f>
        <v>Máy HPTLC Camag</v>
      </c>
      <c r="D33" s="2" t="s">
        <v>78</v>
      </c>
      <c r="E33" s="2" t="str">
        <f>IF(INDEX(EquipmentInfo[KĐ cân],PlanTable[[#This Row],[I]])=0,"",INDEX(EquipmentInfo[KĐ cân],PlanTable[[#This Row],[I]]))</f>
        <v/>
      </c>
      <c r="F33" s="2" t="str">
        <f>IF(INDEX(EquipmentInfo[KĐ áp kế],PlanTable[[#This Row],[I]])=0,"",INDEX(EquipmentInfo[KĐ áp kế],PlanTable[[#This Row],[I]]))</f>
        <v/>
      </c>
      <c r="G33" s="2" t="str">
        <f>IF(INDEX(EquipmentInfo[KĐ AT],PlanTable[[#This Row],[I]])=0,"",INDEX(EquipmentInfo[KĐ AT],PlanTable[[#This Row],[I]]))</f>
        <v/>
      </c>
      <c r="H33" s="2" t="str">
        <f>IF(INDEX(EquipmentInfo[HC],PlanTable[[#This Row],[I]])=0,"",INDEX(EquipmentInfo[HC],PlanTable[[#This Row],[I]]))</f>
        <v/>
      </c>
      <c r="I33" s="2">
        <f>IF(INDEX(EquipmentInfo[BT],PlanTable[[#This Row],[I]])=0,"",INDEX(EquipmentInfo[BT],PlanTable[[#This Row],[I]]))</f>
        <v>12</v>
      </c>
      <c r="J33" s="2" t="str">
        <f>IF(INDEX(EquipmentInfo[PQ],PlanTable[[#This Row],[I]])=0,"",INDEX(EquipmentInfo[PQ],PlanTable[[#This Row],[I]]))</f>
        <v/>
      </c>
      <c r="K33" s="2"/>
      <c r="L33" s="2"/>
      <c r="M33" s="2"/>
      <c r="N33" s="2"/>
      <c r="O33" s="2"/>
      <c r="P33" s="2"/>
      <c r="Q33" s="2"/>
      <c r="R33" s="2"/>
      <c r="S33" s="2"/>
      <c r="T33" s="2" t="s">
        <v>16</v>
      </c>
      <c r="U33" s="2"/>
      <c r="V33" s="2"/>
      <c r="W33" s="2" t="str">
        <f>IF(INDEX(EquipmentInfo[Thuê CQ],PlanTable[[#This Row],[I]])=0,"",INDEX(EquipmentInfo[Thuê CQ],PlanTable[[#This Row],[I]]))</f>
        <v>x</v>
      </c>
      <c r="X33" s="2" t="str">
        <f>INDEX(EquipmentInfo[Người phụ trách],PlanTable[[#This Row],[I]])</f>
        <v>Tuấn</v>
      </c>
      <c r="Y33" s="2"/>
      <c r="Z33" s="1"/>
    </row>
    <row r="34" spans="1:26" x14ac:dyDescent="0.25">
      <c r="A34" s="2">
        <v>29</v>
      </c>
      <c r="B34" s="2">
        <f>MATCH(PlanTable[[#This Row],[Mã thiết bị]],EquipmentInfo[Mã thiết bị],0)</f>
        <v>32</v>
      </c>
      <c r="C34" s="22" t="str">
        <f>INDEX(EquipmentInfo[Tên thiết bị],MATCH(PlanTable[[#This Row],[Mã thiết bị]],EquipmentInfo[Mã thiết bị],0))</f>
        <v>Lò nung Nabertherm L5/11/B170</v>
      </c>
      <c r="D34" s="2" t="s">
        <v>79</v>
      </c>
      <c r="E34" s="2" t="str">
        <f>IF(INDEX(EquipmentInfo[KĐ cân],PlanTable[[#This Row],[I]])=0,"",INDEX(EquipmentInfo[KĐ cân],PlanTable[[#This Row],[I]]))</f>
        <v/>
      </c>
      <c r="F34" s="2" t="str">
        <f>IF(INDEX(EquipmentInfo[KĐ áp kế],PlanTable[[#This Row],[I]])=0,"",INDEX(EquipmentInfo[KĐ áp kế],PlanTable[[#This Row],[I]]))</f>
        <v/>
      </c>
      <c r="G34" s="2" t="str">
        <f>IF(INDEX(EquipmentInfo[KĐ AT],PlanTable[[#This Row],[I]])=0,"",INDEX(EquipmentInfo[KĐ AT],PlanTable[[#This Row],[I]]))</f>
        <v/>
      </c>
      <c r="H34" s="2">
        <f>IF(INDEX(EquipmentInfo[HC],PlanTable[[#This Row],[I]])=0,"",INDEX(EquipmentInfo[HC],PlanTable[[#This Row],[I]]))</f>
        <v>12</v>
      </c>
      <c r="I34" s="2">
        <f>IF(INDEX(EquipmentInfo[BT],PlanTable[[#This Row],[I]])=0,"",INDEX(EquipmentInfo[BT],PlanTable[[#This Row],[I]]))</f>
        <v>3</v>
      </c>
      <c r="J34" s="2" t="str">
        <f>IF(INDEX(EquipmentInfo[PQ],PlanTable[[#This Row],[I]])=0,"",INDEX(EquipmentInfo[PQ],PlanTable[[#This Row],[I]]))</f>
        <v/>
      </c>
      <c r="K34" s="2" t="s">
        <v>16</v>
      </c>
      <c r="L34" s="2"/>
      <c r="M34" s="2"/>
      <c r="N34" s="2" t="s">
        <v>16</v>
      </c>
      <c r="O34" s="2"/>
      <c r="P34" s="2"/>
      <c r="Q34" s="2" t="s">
        <v>15</v>
      </c>
      <c r="R34" s="2"/>
      <c r="S34" s="2"/>
      <c r="T34" s="2" t="s">
        <v>16</v>
      </c>
      <c r="U34" s="2"/>
      <c r="V34" s="2"/>
      <c r="W34" s="2" t="str">
        <f>IF(INDEX(EquipmentInfo[Thuê CQ],PlanTable[[#This Row],[I]])=0,"",INDEX(EquipmentInfo[Thuê CQ],PlanTable[[#This Row],[I]]))</f>
        <v>x</v>
      </c>
      <c r="X34" s="2" t="str">
        <f>INDEX(EquipmentInfo[Người phụ trách],PlanTable[[#This Row],[I]])</f>
        <v>Cường</v>
      </c>
      <c r="Y34" s="2"/>
      <c r="Z34" s="1"/>
    </row>
    <row r="35" spans="1:26" x14ac:dyDescent="0.25">
      <c r="A35" s="2">
        <v>30</v>
      </c>
      <c r="B35" s="2">
        <f>MATCH(PlanTable[[#This Row],[Mã thiết bị]],EquipmentInfo[Mã thiết bị],0)</f>
        <v>33</v>
      </c>
      <c r="C35" s="22" t="str">
        <f>INDEX(EquipmentInfo[Tên thiết bị],MATCH(PlanTable[[#This Row],[Mã thiết bị]],EquipmentInfo[Mã thiết bị],0))</f>
        <v>Máy khuấy từ Velp</v>
      </c>
      <c r="D35" s="2" t="s">
        <v>80</v>
      </c>
      <c r="E35" s="2" t="str">
        <f>IF(INDEX(EquipmentInfo[KĐ cân],PlanTable[[#This Row],[I]])=0,"",INDEX(EquipmentInfo[KĐ cân],PlanTable[[#This Row],[I]]))</f>
        <v/>
      </c>
      <c r="F35" s="2" t="str">
        <f>IF(INDEX(EquipmentInfo[KĐ áp kế],PlanTable[[#This Row],[I]])=0,"",INDEX(EquipmentInfo[KĐ áp kế],PlanTable[[#This Row],[I]]))</f>
        <v/>
      </c>
      <c r="G35" s="2" t="str">
        <f>IF(INDEX(EquipmentInfo[KĐ AT],PlanTable[[#This Row],[I]])=0,"",INDEX(EquipmentInfo[KĐ AT],PlanTable[[#This Row],[I]]))</f>
        <v/>
      </c>
      <c r="H35" s="2" t="str">
        <f>IF(INDEX(EquipmentInfo[HC],PlanTable[[#This Row],[I]])=0,"",INDEX(EquipmentInfo[HC],PlanTable[[#This Row],[I]]))</f>
        <v/>
      </c>
      <c r="I35" s="2">
        <f>IF(INDEX(EquipmentInfo[BT],PlanTable[[#This Row],[I]])=0,"",INDEX(EquipmentInfo[BT],PlanTable[[#This Row],[I]]))</f>
        <v>12</v>
      </c>
      <c r="J35" s="2" t="str">
        <f>IF(INDEX(EquipmentInfo[PQ],PlanTable[[#This Row],[I]])=0,"",INDEX(EquipmentInfo[PQ],PlanTable[[#This Row],[I]]))</f>
        <v/>
      </c>
      <c r="K35" s="2"/>
      <c r="L35" s="2" t="s">
        <v>16</v>
      </c>
      <c r="M35" s="2"/>
      <c r="N35" s="2"/>
      <c r="O35" s="2"/>
      <c r="P35" s="2"/>
      <c r="Q35" s="2"/>
      <c r="R35" s="2"/>
      <c r="S35" s="2"/>
      <c r="T35" s="2"/>
      <c r="U35" s="2"/>
      <c r="V35" s="2"/>
      <c r="W35" s="2" t="str">
        <f>IF(INDEX(EquipmentInfo[Thuê CQ],PlanTable[[#This Row],[I]])=0,"",INDEX(EquipmentInfo[Thuê CQ],PlanTable[[#This Row],[I]]))</f>
        <v/>
      </c>
      <c r="X35" s="2" t="str">
        <f>INDEX(EquipmentInfo[Người phụ trách],PlanTable[[#This Row],[I]])</f>
        <v>Lan</v>
      </c>
      <c r="Y35" s="2"/>
      <c r="Z35" s="1"/>
    </row>
    <row r="36" spans="1:26" x14ac:dyDescent="0.25">
      <c r="A36" s="2">
        <v>31</v>
      </c>
      <c r="B36" s="2">
        <f>MATCH(PlanTable[[#This Row],[Mã thiết bị]],EquipmentInfo[Mã thiết bị],0)</f>
        <v>36</v>
      </c>
      <c r="C36" s="22" t="str">
        <f>INDEX(EquipmentInfo[Tên thiết bị],MATCH(PlanTable[[#This Row],[Mã thiết bị]],EquipmentInfo[Mã thiết bị],0))</f>
        <v>Máy hồng ngoại Nicolet Avatar 370</v>
      </c>
      <c r="D36" s="2" t="s">
        <v>81</v>
      </c>
      <c r="E36" s="2" t="str">
        <f>IF(INDEX(EquipmentInfo[KĐ cân],PlanTable[[#This Row],[I]])=0,"",INDEX(EquipmentInfo[KĐ cân],PlanTable[[#This Row],[I]]))</f>
        <v/>
      </c>
      <c r="F36" s="2" t="str">
        <f>IF(INDEX(EquipmentInfo[KĐ áp kế],PlanTable[[#This Row],[I]])=0,"",INDEX(EquipmentInfo[KĐ áp kế],PlanTable[[#This Row],[I]]))</f>
        <v/>
      </c>
      <c r="G36" s="2" t="str">
        <f>IF(INDEX(EquipmentInfo[KĐ AT],PlanTable[[#This Row],[I]])=0,"",INDEX(EquipmentInfo[KĐ AT],PlanTable[[#This Row],[I]]))</f>
        <v/>
      </c>
      <c r="H36" s="2">
        <f>IF(INDEX(EquipmentInfo[HC],PlanTable[[#This Row],[I]])=0,"",INDEX(EquipmentInfo[HC],PlanTable[[#This Row],[I]]))</f>
        <v>12</v>
      </c>
      <c r="I36" s="2" t="str">
        <f>IF(INDEX(EquipmentInfo[BT],PlanTable[[#This Row],[I]])=0,"",INDEX(EquipmentInfo[BT],PlanTable[[#This Row],[I]]))</f>
        <v/>
      </c>
      <c r="J36" s="2" t="str">
        <f>IF(INDEX(EquipmentInfo[PQ],PlanTable[[#This Row],[I]])=0,"",INDEX(EquipmentInfo[PQ],PlanTable[[#This Row],[I]]))</f>
        <v/>
      </c>
      <c r="K36" s="2"/>
      <c r="L36" s="2"/>
      <c r="M36" s="2"/>
      <c r="N36" s="2"/>
      <c r="O36" s="2"/>
      <c r="P36" s="2"/>
      <c r="Q36" s="2"/>
      <c r="R36" s="2" t="s">
        <v>15</v>
      </c>
      <c r="S36" s="2"/>
      <c r="T36" s="2"/>
      <c r="U36" s="2"/>
      <c r="V36" s="2"/>
      <c r="W36" s="2" t="str">
        <f>IF(INDEX(EquipmentInfo[Thuê CQ],PlanTable[[#This Row],[I]])=0,"",INDEX(EquipmentInfo[Thuê CQ],PlanTable[[#This Row],[I]]))</f>
        <v/>
      </c>
      <c r="X36" s="2" t="str">
        <f>INDEX(EquipmentInfo[Người phụ trách],PlanTable[[#This Row],[I]])</f>
        <v>Thắm</v>
      </c>
      <c r="Y36" s="2"/>
      <c r="Z36" s="1"/>
    </row>
    <row r="37" spans="1:26" x14ac:dyDescent="0.25">
      <c r="A37" s="2">
        <v>32</v>
      </c>
      <c r="B37" s="2">
        <f>MATCH(PlanTable[[#This Row],[Mã thiết bị]],EquipmentInfo[Mã thiết bị],0)</f>
        <v>37</v>
      </c>
      <c r="C37" s="22" t="str">
        <f>INDEX(EquipmentInfo[Tên thiết bị],MATCH(PlanTable[[#This Row],[Mã thiết bị]],EquipmentInfo[Mã thiết bị],0))</f>
        <v>Bơm chân không Gast</v>
      </c>
      <c r="D37" s="2" t="s">
        <v>82</v>
      </c>
      <c r="E37" s="2" t="str">
        <f>IF(INDEX(EquipmentInfo[KĐ cân],PlanTable[[#This Row],[I]])=0,"",INDEX(EquipmentInfo[KĐ cân],PlanTable[[#This Row],[I]]))</f>
        <v/>
      </c>
      <c r="F37" s="2" t="str">
        <f>IF(INDEX(EquipmentInfo[KĐ áp kế],PlanTable[[#This Row],[I]])=0,"",INDEX(EquipmentInfo[KĐ áp kế],PlanTable[[#This Row],[I]]))</f>
        <v/>
      </c>
      <c r="G37" s="2" t="str">
        <f>IF(INDEX(EquipmentInfo[KĐ AT],PlanTable[[#This Row],[I]])=0,"",INDEX(EquipmentInfo[KĐ AT],PlanTable[[#This Row],[I]]))</f>
        <v/>
      </c>
      <c r="H37" s="2" t="str">
        <f>IF(INDEX(EquipmentInfo[HC],PlanTable[[#This Row],[I]])=0,"",INDEX(EquipmentInfo[HC],PlanTable[[#This Row],[I]]))</f>
        <v/>
      </c>
      <c r="I37" s="2">
        <f>IF(INDEX(EquipmentInfo[BT],PlanTable[[#This Row],[I]])=0,"",INDEX(EquipmentInfo[BT],PlanTable[[#This Row],[I]]))</f>
        <v>12</v>
      </c>
      <c r="J37" s="2" t="str">
        <f>IF(INDEX(EquipmentInfo[PQ],PlanTable[[#This Row],[I]])=0,"",INDEX(EquipmentInfo[PQ],PlanTable[[#This Row],[I]]))</f>
        <v/>
      </c>
      <c r="K37" s="2"/>
      <c r="L37" s="2" t="s">
        <v>16</v>
      </c>
      <c r="M37" s="2"/>
      <c r="N37" s="2"/>
      <c r="O37" s="2"/>
      <c r="P37" s="2"/>
      <c r="Q37" s="2"/>
      <c r="R37" s="2"/>
      <c r="S37" s="2"/>
      <c r="T37" s="2"/>
      <c r="U37" s="2"/>
      <c r="V37" s="2"/>
      <c r="W37" s="2" t="str">
        <f>IF(INDEX(EquipmentInfo[Thuê CQ],PlanTable[[#This Row],[I]])=0,"",INDEX(EquipmentInfo[Thuê CQ],PlanTable[[#This Row],[I]]))</f>
        <v/>
      </c>
      <c r="X37" s="2" t="str">
        <f>INDEX(EquipmentInfo[Người phụ trách],PlanTable[[#This Row],[I]])</f>
        <v>Thắm</v>
      </c>
      <c r="Y37" s="2"/>
      <c r="Z37" s="1"/>
    </row>
    <row r="38" spans="1:26" x14ac:dyDescent="0.25">
      <c r="A38" s="2">
        <v>33</v>
      </c>
      <c r="B38" s="2">
        <f>MATCH(PlanTable[[#This Row],[Mã thiết bị]],EquipmentInfo[Mã thiết bị],0)</f>
        <v>38</v>
      </c>
      <c r="C38" s="22" t="str">
        <f>INDEX(EquipmentInfo[Tên thiết bị],MATCH(PlanTable[[#This Row],[Mã thiết bị]],EquipmentInfo[Mã thiết bị],0))</f>
        <v>Bể điều nhiệt TC-402D</v>
      </c>
      <c r="D38" s="2" t="s">
        <v>83</v>
      </c>
      <c r="E38" s="2" t="str">
        <f>IF(INDEX(EquipmentInfo[KĐ cân],PlanTable[[#This Row],[I]])=0,"",INDEX(EquipmentInfo[KĐ cân],PlanTable[[#This Row],[I]]))</f>
        <v/>
      </c>
      <c r="F38" s="2" t="str">
        <f>IF(INDEX(EquipmentInfo[KĐ áp kế],PlanTable[[#This Row],[I]])=0,"",INDEX(EquipmentInfo[KĐ áp kế],PlanTable[[#This Row],[I]]))</f>
        <v/>
      </c>
      <c r="G38" s="2" t="str">
        <f>IF(INDEX(EquipmentInfo[KĐ AT],PlanTable[[#This Row],[I]])=0,"",INDEX(EquipmentInfo[KĐ AT],PlanTable[[#This Row],[I]]))</f>
        <v/>
      </c>
      <c r="H38" s="2" t="str">
        <f>IF(INDEX(EquipmentInfo[HC],PlanTable[[#This Row],[I]])=0,"",INDEX(EquipmentInfo[HC],PlanTable[[#This Row],[I]]))</f>
        <v/>
      </c>
      <c r="I38" s="2">
        <f>IF(INDEX(EquipmentInfo[BT],PlanTable[[#This Row],[I]])=0,"",INDEX(EquipmentInfo[BT],PlanTable[[#This Row],[I]]))</f>
        <v>12</v>
      </c>
      <c r="J38" s="2" t="str">
        <f>IF(INDEX(EquipmentInfo[PQ],PlanTable[[#This Row],[I]])=0,"",INDEX(EquipmentInfo[PQ],PlanTable[[#This Row],[I]]))</f>
        <v/>
      </c>
      <c r="K38" s="2"/>
      <c r="L38" s="2"/>
      <c r="M38" s="2"/>
      <c r="N38" s="2"/>
      <c r="O38" s="2"/>
      <c r="P38" s="2"/>
      <c r="Q38" s="2"/>
      <c r="R38" s="2"/>
      <c r="S38" s="2" t="s">
        <v>16</v>
      </c>
      <c r="T38" s="2"/>
      <c r="U38" s="2"/>
      <c r="V38" s="2"/>
      <c r="W38" s="2" t="str">
        <f>IF(INDEX(EquipmentInfo[Thuê CQ],PlanTable[[#This Row],[I]])=0,"",INDEX(EquipmentInfo[Thuê CQ],PlanTable[[#This Row],[I]]))</f>
        <v/>
      </c>
      <c r="X38" s="2" t="str">
        <f>INDEX(EquipmentInfo[Người phụ trách],PlanTable[[#This Row],[I]])</f>
        <v>Thắm</v>
      </c>
      <c r="Y38" s="2"/>
      <c r="Z38" s="1"/>
    </row>
    <row r="39" spans="1:26" x14ac:dyDescent="0.25">
      <c r="A39" s="2">
        <v>34</v>
      </c>
      <c r="B39" s="2">
        <f>MATCH(PlanTable[[#This Row],[Mã thiết bị]],EquipmentInfo[Mã thiết bị],0)</f>
        <v>39</v>
      </c>
      <c r="C39" s="22" t="str">
        <f>INDEX(EquipmentInfo[Tên thiết bị],MATCH(PlanTable[[#This Row],[Mã thiết bị]],EquipmentInfo[Mã thiết bị],0))</f>
        <v>Bể điều nhiệt TC-402D</v>
      </c>
      <c r="D39" s="2" t="s">
        <v>84</v>
      </c>
      <c r="E39" s="2" t="str">
        <f>IF(INDEX(EquipmentInfo[KĐ cân],PlanTable[[#This Row],[I]])=0,"",INDEX(EquipmentInfo[KĐ cân],PlanTable[[#This Row],[I]]))</f>
        <v/>
      </c>
      <c r="F39" s="2" t="str">
        <f>IF(INDEX(EquipmentInfo[KĐ áp kế],PlanTable[[#This Row],[I]])=0,"",INDEX(EquipmentInfo[KĐ áp kế],PlanTable[[#This Row],[I]]))</f>
        <v/>
      </c>
      <c r="G39" s="2" t="str">
        <f>IF(INDEX(EquipmentInfo[KĐ AT],PlanTable[[#This Row],[I]])=0,"",INDEX(EquipmentInfo[KĐ AT],PlanTable[[#This Row],[I]]))</f>
        <v/>
      </c>
      <c r="H39" s="2" t="str">
        <f>IF(INDEX(EquipmentInfo[HC],PlanTable[[#This Row],[I]])=0,"",INDEX(EquipmentInfo[HC],PlanTable[[#This Row],[I]]))</f>
        <v/>
      </c>
      <c r="I39" s="2">
        <f>IF(INDEX(EquipmentInfo[BT],PlanTable[[#This Row],[I]])=0,"",INDEX(EquipmentInfo[BT],PlanTable[[#This Row],[I]]))</f>
        <v>12</v>
      </c>
      <c r="J39" s="2" t="str">
        <f>IF(INDEX(EquipmentInfo[PQ],PlanTable[[#This Row],[I]])=0,"",INDEX(EquipmentInfo[PQ],PlanTable[[#This Row],[I]]))</f>
        <v/>
      </c>
      <c r="K39" s="2"/>
      <c r="L39" s="2"/>
      <c r="M39" s="2"/>
      <c r="N39" s="2"/>
      <c r="O39" s="2"/>
      <c r="P39" s="2"/>
      <c r="Q39" s="2"/>
      <c r="R39" s="2"/>
      <c r="S39" s="2" t="s">
        <v>16</v>
      </c>
      <c r="T39" s="2"/>
      <c r="U39" s="2"/>
      <c r="V39" s="2"/>
      <c r="W39" s="2" t="str">
        <f>IF(INDEX(EquipmentInfo[Thuê CQ],PlanTable[[#This Row],[I]])=0,"",INDEX(EquipmentInfo[Thuê CQ],PlanTable[[#This Row],[I]]))</f>
        <v/>
      </c>
      <c r="X39" s="2" t="str">
        <f>INDEX(EquipmentInfo[Người phụ trách],PlanTable[[#This Row],[I]])</f>
        <v>Thắm</v>
      </c>
      <c r="Y39" s="2"/>
      <c r="Z39" s="1"/>
    </row>
    <row r="40" spans="1:26" x14ac:dyDescent="0.25">
      <c r="A40" s="2">
        <v>35</v>
      </c>
      <c r="B40" s="2">
        <f>MATCH(PlanTable[[#This Row],[Mã thiết bị]],EquipmentInfo[Mã thiết bị],0)</f>
        <v>40</v>
      </c>
      <c r="C40" s="22" t="str">
        <f>INDEX(EquipmentInfo[Tên thiết bị],MATCH(PlanTable[[#This Row],[Mã thiết bị]],EquipmentInfo[Mã thiết bị],0))</f>
        <v>Bơm chân không Emerson</v>
      </c>
      <c r="D40" s="2" t="s">
        <v>85</v>
      </c>
      <c r="E40" s="2" t="str">
        <f>IF(INDEX(EquipmentInfo[KĐ cân],PlanTable[[#This Row],[I]])=0,"",INDEX(EquipmentInfo[KĐ cân],PlanTable[[#This Row],[I]]))</f>
        <v/>
      </c>
      <c r="F40" s="2" t="str">
        <f>IF(INDEX(EquipmentInfo[KĐ áp kế],PlanTable[[#This Row],[I]])=0,"",INDEX(EquipmentInfo[KĐ áp kế],PlanTable[[#This Row],[I]]))</f>
        <v/>
      </c>
      <c r="G40" s="2" t="str">
        <f>IF(INDEX(EquipmentInfo[KĐ AT],PlanTable[[#This Row],[I]])=0,"",INDEX(EquipmentInfo[KĐ AT],PlanTable[[#This Row],[I]]))</f>
        <v/>
      </c>
      <c r="H40" s="2" t="str">
        <f>IF(INDEX(EquipmentInfo[HC],PlanTable[[#This Row],[I]])=0,"",INDEX(EquipmentInfo[HC],PlanTable[[#This Row],[I]]))</f>
        <v/>
      </c>
      <c r="I40" s="2">
        <f>IF(INDEX(EquipmentInfo[BT],PlanTable[[#This Row],[I]])=0,"",INDEX(EquipmentInfo[BT],PlanTable[[#This Row],[I]]))</f>
        <v>12</v>
      </c>
      <c r="J40" s="2" t="str">
        <f>IF(INDEX(EquipmentInfo[PQ],PlanTable[[#This Row],[I]])=0,"",INDEX(EquipmentInfo[PQ],PlanTable[[#This Row],[I]]))</f>
        <v/>
      </c>
      <c r="K40" s="2"/>
      <c r="L40" s="2"/>
      <c r="M40" s="2"/>
      <c r="N40" s="2"/>
      <c r="O40" s="2"/>
      <c r="P40" s="2"/>
      <c r="Q40" s="2"/>
      <c r="R40" s="2"/>
      <c r="S40" s="2" t="s">
        <v>16</v>
      </c>
      <c r="T40" s="2"/>
      <c r="U40" s="2"/>
      <c r="V40" s="2"/>
      <c r="W40" s="2" t="str">
        <f>IF(INDEX(EquipmentInfo[Thuê CQ],PlanTable[[#This Row],[I]])=0,"",INDEX(EquipmentInfo[Thuê CQ],PlanTable[[#This Row],[I]]))</f>
        <v/>
      </c>
      <c r="X40" s="2" t="str">
        <f>INDEX(EquipmentInfo[Người phụ trách],PlanTable[[#This Row],[I]])</f>
        <v>Vân</v>
      </c>
      <c r="Y40" s="2"/>
      <c r="Z40" s="1"/>
    </row>
    <row r="41" spans="1:26" ht="30" x14ac:dyDescent="0.25">
      <c r="A41" s="2">
        <v>36</v>
      </c>
      <c r="B41" s="2">
        <f>MATCH(PlanTable[[#This Row],[Mã thiết bị]],EquipmentInfo[Mã thiết bị],0)</f>
        <v>41</v>
      </c>
      <c r="C41" s="22" t="str">
        <f>INDEX(EquipmentInfo[Tên thiết bị],MATCH(PlanTable[[#This Row],[Mã thiết bị]],EquipmentInfo[Mã thiết bị],0))</f>
        <v>Máy pH Mettler Toledo S20K</v>
      </c>
      <c r="D41" s="2" t="s">
        <v>86</v>
      </c>
      <c r="E41" s="2" t="str">
        <f>IF(INDEX(EquipmentInfo[KĐ cân],PlanTable[[#This Row],[I]])=0,"",INDEX(EquipmentInfo[KĐ cân],PlanTable[[#This Row],[I]]))</f>
        <v/>
      </c>
      <c r="F41" s="2" t="str">
        <f>IF(INDEX(EquipmentInfo[KĐ áp kế],PlanTable[[#This Row],[I]])=0,"",INDEX(EquipmentInfo[KĐ áp kế],PlanTable[[#This Row],[I]]))</f>
        <v/>
      </c>
      <c r="G41" s="2" t="str">
        <f>IF(INDEX(EquipmentInfo[KĐ AT],PlanTable[[#This Row],[I]])=0,"",INDEX(EquipmentInfo[KĐ AT],PlanTable[[#This Row],[I]]))</f>
        <v/>
      </c>
      <c r="H41" s="2">
        <f>IF(INDEX(EquipmentInfo[HC],PlanTable[[#This Row],[I]])=0,"",INDEX(EquipmentInfo[HC],PlanTable[[#This Row],[I]]))</f>
        <v>12</v>
      </c>
      <c r="I41" s="2">
        <f>IF(INDEX(EquipmentInfo[BT],PlanTable[[#This Row],[I]])=0,"",INDEX(EquipmentInfo[BT],PlanTable[[#This Row],[I]]))</f>
        <v>6</v>
      </c>
      <c r="J41" s="2" t="str">
        <f>IF(INDEX(EquipmentInfo[PQ],PlanTable[[#This Row],[I]])=0,"",INDEX(EquipmentInfo[PQ],PlanTable[[#This Row],[I]]))</f>
        <v/>
      </c>
      <c r="K41" s="2"/>
      <c r="L41" s="2" t="s">
        <v>16</v>
      </c>
      <c r="M41" s="2"/>
      <c r="N41" s="2"/>
      <c r="O41" s="2"/>
      <c r="P41" s="2"/>
      <c r="Q41" s="2"/>
      <c r="R41" s="2" t="s">
        <v>150</v>
      </c>
      <c r="S41" s="2"/>
      <c r="T41" s="2"/>
      <c r="U41" s="2"/>
      <c r="V41" s="2"/>
      <c r="W41" s="2" t="str">
        <f>IF(INDEX(EquipmentInfo[Thuê CQ],PlanTable[[#This Row],[I]])=0,"",INDEX(EquipmentInfo[Thuê CQ],PlanTable[[#This Row],[I]]))</f>
        <v/>
      </c>
      <c r="X41" s="2" t="str">
        <f>INDEX(EquipmentInfo[Người phụ trách],PlanTable[[#This Row],[I]])</f>
        <v>Vân</v>
      </c>
      <c r="Y41" s="2"/>
      <c r="Z41" s="1"/>
    </row>
    <row r="42" spans="1:26" x14ac:dyDescent="0.25">
      <c r="A42" s="2">
        <v>37</v>
      </c>
      <c r="B42" s="2">
        <f>MATCH(PlanTable[[#This Row],[Mã thiết bị]],EquipmentInfo[Mã thiết bị],0)</f>
        <v>42</v>
      </c>
      <c r="C42" s="22" t="str">
        <f>INDEX(EquipmentInfo[Tên thiết bị],MATCH(PlanTable[[#This Row],[Mã thiết bị]],EquipmentInfo[Mã thiết bị],0))</f>
        <v>Bộ chiết Soxhlet Gerhardt EV 16</v>
      </c>
      <c r="D42" s="2" t="s">
        <v>87</v>
      </c>
      <c r="E42" s="2" t="str">
        <f>IF(INDEX(EquipmentInfo[KĐ cân],PlanTable[[#This Row],[I]])=0,"",INDEX(EquipmentInfo[KĐ cân],PlanTable[[#This Row],[I]]))</f>
        <v/>
      </c>
      <c r="F42" s="2" t="str">
        <f>IF(INDEX(EquipmentInfo[KĐ áp kế],PlanTable[[#This Row],[I]])=0,"",INDEX(EquipmentInfo[KĐ áp kế],PlanTable[[#This Row],[I]]))</f>
        <v/>
      </c>
      <c r="G42" s="2" t="str">
        <f>IF(INDEX(EquipmentInfo[KĐ AT],PlanTable[[#This Row],[I]])=0,"",INDEX(EquipmentInfo[KĐ AT],PlanTable[[#This Row],[I]]))</f>
        <v/>
      </c>
      <c r="H42" s="2" t="str">
        <f>IF(INDEX(EquipmentInfo[HC],PlanTable[[#This Row],[I]])=0,"",INDEX(EquipmentInfo[HC],PlanTable[[#This Row],[I]]))</f>
        <v/>
      </c>
      <c r="I42" s="2">
        <f>IF(INDEX(EquipmentInfo[BT],PlanTable[[#This Row],[I]])=0,"",INDEX(EquipmentInfo[BT],PlanTable[[#This Row],[I]]))</f>
        <v>12</v>
      </c>
      <c r="J42" s="2" t="str">
        <f>IF(INDEX(EquipmentInfo[PQ],PlanTable[[#This Row],[I]])=0,"",INDEX(EquipmentInfo[PQ],PlanTable[[#This Row],[I]]))</f>
        <v/>
      </c>
      <c r="K42" s="2"/>
      <c r="L42" s="2"/>
      <c r="M42" s="2"/>
      <c r="N42" s="2"/>
      <c r="O42" s="2"/>
      <c r="P42" s="2"/>
      <c r="Q42" s="2"/>
      <c r="R42" s="2" t="s">
        <v>16</v>
      </c>
      <c r="S42" s="2"/>
      <c r="T42" s="2"/>
      <c r="U42" s="2"/>
      <c r="V42" s="2"/>
      <c r="W42" s="2" t="str">
        <f>IF(INDEX(EquipmentInfo[Thuê CQ],PlanTable[[#This Row],[I]])=0,"",INDEX(EquipmentInfo[Thuê CQ],PlanTable[[#This Row],[I]]))</f>
        <v/>
      </c>
      <c r="X42" s="2" t="str">
        <f>INDEX(EquipmentInfo[Người phụ trách],PlanTable[[#This Row],[I]])</f>
        <v>Ngọc</v>
      </c>
      <c r="Y42" s="2"/>
      <c r="Z42" s="1"/>
    </row>
    <row r="43" spans="1:26" x14ac:dyDescent="0.25">
      <c r="A43" s="2">
        <v>38</v>
      </c>
      <c r="B43" s="2">
        <f>MATCH(PlanTable[[#This Row],[Mã thiết bị]],EquipmentInfo[Mã thiết bị],0)</f>
        <v>43</v>
      </c>
      <c r="C43" s="22" t="str">
        <f>INDEX(EquipmentInfo[Tên thiết bị],MATCH(PlanTable[[#This Row],[Mã thiết bị]],EquipmentInfo[Mã thiết bị],0))</f>
        <v>Tủ sấy Memmert UNB200</v>
      </c>
      <c r="D43" s="2" t="s">
        <v>88</v>
      </c>
      <c r="E43" s="2" t="str">
        <f>IF(INDEX(EquipmentInfo[KĐ cân],PlanTable[[#This Row],[I]])=0,"",INDEX(EquipmentInfo[KĐ cân],PlanTable[[#This Row],[I]]))</f>
        <v/>
      </c>
      <c r="F43" s="2" t="str">
        <f>IF(INDEX(EquipmentInfo[KĐ áp kế],PlanTable[[#This Row],[I]])=0,"",INDEX(EquipmentInfo[KĐ áp kế],PlanTable[[#This Row],[I]]))</f>
        <v/>
      </c>
      <c r="G43" s="2" t="str">
        <f>IF(INDEX(EquipmentInfo[KĐ AT],PlanTable[[#This Row],[I]])=0,"",INDEX(EquipmentInfo[KĐ AT],PlanTable[[#This Row],[I]]))</f>
        <v/>
      </c>
      <c r="H43" s="2">
        <f>IF(INDEX(EquipmentInfo[HC],PlanTable[[#This Row],[I]])=0,"",INDEX(EquipmentInfo[HC],PlanTable[[#This Row],[I]]))</f>
        <v>12</v>
      </c>
      <c r="I43" s="2" t="str">
        <f>IF(INDEX(EquipmentInfo[BT],PlanTable[[#This Row],[I]])=0,"",INDEX(EquipmentInfo[BT],PlanTable[[#This Row],[I]]))</f>
        <v/>
      </c>
      <c r="J43" s="2" t="str">
        <f>IF(INDEX(EquipmentInfo[PQ],PlanTable[[#This Row],[I]])=0,"",INDEX(EquipmentInfo[PQ],PlanTable[[#This Row],[I]]))</f>
        <v/>
      </c>
      <c r="K43" s="2"/>
      <c r="L43" s="2"/>
      <c r="M43" s="2"/>
      <c r="N43" s="2"/>
      <c r="O43" s="2"/>
      <c r="P43" s="2"/>
      <c r="Q43" s="2" t="s">
        <v>15</v>
      </c>
      <c r="R43" s="2"/>
      <c r="S43" s="2"/>
      <c r="T43" s="2"/>
      <c r="U43" s="2"/>
      <c r="V43" s="2"/>
      <c r="W43" s="2" t="str">
        <f>IF(INDEX(EquipmentInfo[Thuê CQ],PlanTable[[#This Row],[I]])=0,"",INDEX(EquipmentInfo[Thuê CQ],PlanTable[[#This Row],[I]]))</f>
        <v>x</v>
      </c>
      <c r="X43" s="2" t="str">
        <f>INDEX(EquipmentInfo[Người phụ trách],PlanTable[[#This Row],[I]])</f>
        <v>Tuấn</v>
      </c>
      <c r="Y43" s="2"/>
      <c r="Z43" s="1"/>
    </row>
    <row r="44" spans="1:26" x14ac:dyDescent="0.25">
      <c r="A44" s="2">
        <v>39</v>
      </c>
      <c r="B44" s="2">
        <f>MATCH(PlanTable[[#This Row],[Mã thiết bị]],EquipmentInfo[Mã thiết bị],0)</f>
        <v>44</v>
      </c>
      <c r="C44" s="22" t="str">
        <f>INDEX(EquipmentInfo[Tên thiết bị],MATCH(PlanTable[[#This Row],[Mã thiết bị]],EquipmentInfo[Mã thiết bị],0))</f>
        <v>Cân Precisa BJ 410C</v>
      </c>
      <c r="D44" s="2" t="s">
        <v>89</v>
      </c>
      <c r="E44" s="2">
        <f>IF(INDEX(EquipmentInfo[KĐ cân],PlanTable[[#This Row],[I]])=0,"",INDEX(EquipmentInfo[KĐ cân],PlanTable[[#This Row],[I]]))</f>
        <v>12</v>
      </c>
      <c r="F44" s="2" t="str">
        <f>IF(INDEX(EquipmentInfo[KĐ áp kế],PlanTable[[#This Row],[I]])=0,"",INDEX(EquipmentInfo[KĐ áp kế],PlanTable[[#This Row],[I]]))</f>
        <v/>
      </c>
      <c r="G44" s="2" t="str">
        <f>IF(INDEX(EquipmentInfo[KĐ AT],PlanTable[[#This Row],[I]])=0,"",INDEX(EquipmentInfo[KĐ AT],PlanTable[[#This Row],[I]]))</f>
        <v/>
      </c>
      <c r="H44" s="2">
        <f>IF(INDEX(EquipmentInfo[HC],PlanTable[[#This Row],[I]])=0,"",INDEX(EquipmentInfo[HC],PlanTable[[#This Row],[I]]))</f>
        <v>12</v>
      </c>
      <c r="I44" s="2">
        <f>IF(INDEX(EquipmentInfo[BT],PlanTable[[#This Row],[I]])=0,"",INDEX(EquipmentInfo[BT],PlanTable[[#This Row],[I]]))</f>
        <v>3</v>
      </c>
      <c r="J44" s="2" t="str">
        <f>IF(INDEX(EquipmentInfo[PQ],PlanTable[[#This Row],[I]])=0,"",INDEX(EquipmentInfo[PQ],PlanTable[[#This Row],[I]]))</f>
        <v/>
      </c>
      <c r="K44" s="2" t="s">
        <v>16</v>
      </c>
      <c r="L44" s="2"/>
      <c r="M44" s="2" t="s">
        <v>17</v>
      </c>
      <c r="N44" s="2" t="s">
        <v>16</v>
      </c>
      <c r="O44" s="2"/>
      <c r="P44" s="2"/>
      <c r="Q44" s="2" t="s">
        <v>15</v>
      </c>
      <c r="R44" s="2"/>
      <c r="S44" s="2"/>
      <c r="T44" s="2" t="s">
        <v>16</v>
      </c>
      <c r="U44" s="2"/>
      <c r="V44" s="2"/>
      <c r="W44" s="2" t="str">
        <f>IF(INDEX(EquipmentInfo[Thuê CQ],PlanTable[[#This Row],[I]])=0,"",INDEX(EquipmentInfo[Thuê CQ],PlanTable[[#This Row],[I]]))</f>
        <v>x</v>
      </c>
      <c r="X44" s="2" t="str">
        <f>INDEX(EquipmentInfo[Người phụ trách],PlanTable[[#This Row],[I]])</f>
        <v>Vân</v>
      </c>
      <c r="Y44" s="2"/>
      <c r="Z44" s="1"/>
    </row>
    <row r="45" spans="1:26" ht="30" x14ac:dyDescent="0.25">
      <c r="A45" s="2">
        <v>40</v>
      </c>
      <c r="B45" s="2">
        <f>MATCH(PlanTable[[#This Row],[Mã thiết bị]],EquipmentInfo[Mã thiết bị],0)</f>
        <v>45</v>
      </c>
      <c r="C45" s="22" t="str">
        <f>INDEX(EquipmentInfo[Tên thiết bị],MATCH(PlanTable[[#This Row],[Mã thiết bị]],EquipmentInfo[Mã thiết bị],0))</f>
        <v>Máy AAS Thermo iCE 3500</v>
      </c>
      <c r="D45" s="2" t="s">
        <v>90</v>
      </c>
      <c r="E45" s="2" t="str">
        <f>IF(INDEX(EquipmentInfo[KĐ cân],PlanTable[[#This Row],[I]])=0,"",INDEX(EquipmentInfo[KĐ cân],PlanTable[[#This Row],[I]]))</f>
        <v/>
      </c>
      <c r="F45" s="2" t="str">
        <f>IF(INDEX(EquipmentInfo[KĐ áp kế],PlanTable[[#This Row],[I]])=0,"",INDEX(EquipmentInfo[KĐ áp kế],PlanTable[[#This Row],[I]]))</f>
        <v/>
      </c>
      <c r="G45" s="2" t="str">
        <f>IF(INDEX(EquipmentInfo[KĐ AT],PlanTable[[#This Row],[I]])=0,"",INDEX(EquipmentInfo[KĐ AT],PlanTable[[#This Row],[I]]))</f>
        <v/>
      </c>
      <c r="H45" s="2">
        <f>IF(INDEX(EquipmentInfo[HC],PlanTable[[#This Row],[I]])=0,"",INDEX(EquipmentInfo[HC],PlanTable[[#This Row],[I]]))</f>
        <v>12</v>
      </c>
      <c r="I45" s="2">
        <f>IF(INDEX(EquipmentInfo[BT],PlanTable[[#This Row],[I]])=0,"",INDEX(EquipmentInfo[BT],PlanTable[[#This Row],[I]]))</f>
        <v>12</v>
      </c>
      <c r="J45" s="2" t="str">
        <f>IF(INDEX(EquipmentInfo[PQ],PlanTable[[#This Row],[I]])=0,"",INDEX(EquipmentInfo[PQ],PlanTable[[#This Row],[I]]))</f>
        <v/>
      </c>
      <c r="K45" s="2"/>
      <c r="L45" s="2"/>
      <c r="M45" s="2"/>
      <c r="N45" s="2"/>
      <c r="O45" s="2"/>
      <c r="P45" s="2"/>
      <c r="Q45" s="2"/>
      <c r="R45" s="2" t="s">
        <v>150</v>
      </c>
      <c r="S45" s="2"/>
      <c r="T45" s="2"/>
      <c r="U45" s="2"/>
      <c r="V45" s="2"/>
      <c r="W45" s="2" t="str">
        <f>IF(INDEX(EquipmentInfo[Thuê CQ],PlanTable[[#This Row],[I]])=0,"",INDEX(EquipmentInfo[Thuê CQ],PlanTable[[#This Row],[I]]))</f>
        <v>x</v>
      </c>
      <c r="X45" s="2" t="str">
        <f>INDEX(EquipmentInfo[Người phụ trách],PlanTable[[#This Row],[I]])</f>
        <v>Tuấn</v>
      </c>
      <c r="Y45" s="2"/>
      <c r="Z45" s="1"/>
    </row>
    <row r="46" spans="1:26" ht="30" x14ac:dyDescent="0.25">
      <c r="A46" s="2">
        <v>41</v>
      </c>
      <c r="B46" s="2">
        <f>MATCH(PlanTable[[#This Row],[Mã thiết bị]],EquipmentInfo[Mã thiết bị],0)</f>
        <v>46</v>
      </c>
      <c r="C46" s="22" t="str">
        <f>INDEX(EquipmentInfo[Tên thiết bị],MATCH(PlanTable[[#This Row],[Mã thiết bị]],EquipmentInfo[Mã thiết bị],0))</f>
        <v>Máy HPLC Agilent 1260</v>
      </c>
      <c r="D46" s="2" t="s">
        <v>91</v>
      </c>
      <c r="E46" s="2" t="str">
        <f>IF(INDEX(EquipmentInfo[KĐ cân],PlanTable[[#This Row],[I]])=0,"",INDEX(EquipmentInfo[KĐ cân],PlanTable[[#This Row],[I]]))</f>
        <v/>
      </c>
      <c r="F46" s="2" t="str">
        <f>IF(INDEX(EquipmentInfo[KĐ áp kế],PlanTable[[#This Row],[I]])=0,"",INDEX(EquipmentInfo[KĐ áp kế],PlanTable[[#This Row],[I]]))</f>
        <v/>
      </c>
      <c r="G46" s="2" t="str">
        <f>IF(INDEX(EquipmentInfo[KĐ AT],PlanTable[[#This Row],[I]])=0,"",INDEX(EquipmentInfo[KĐ AT],PlanTable[[#This Row],[I]]))</f>
        <v/>
      </c>
      <c r="H46" s="2">
        <f>IF(INDEX(EquipmentInfo[HC],PlanTable[[#This Row],[I]])=0,"",INDEX(EquipmentInfo[HC],PlanTable[[#This Row],[I]]))</f>
        <v>12</v>
      </c>
      <c r="I46" s="2">
        <f>IF(INDEX(EquipmentInfo[BT],PlanTable[[#This Row],[I]])=0,"",INDEX(EquipmentInfo[BT],PlanTable[[#This Row],[I]]))</f>
        <v>6</v>
      </c>
      <c r="J46" s="2">
        <f>IF(INDEX(EquipmentInfo[PQ],PlanTable[[#This Row],[I]])=0,"",INDEX(EquipmentInfo[PQ],PlanTable[[#This Row],[I]]))</f>
        <v>12</v>
      </c>
      <c r="K46" s="2" t="s">
        <v>16</v>
      </c>
      <c r="L46" s="2"/>
      <c r="M46" s="2"/>
      <c r="N46" s="2"/>
      <c r="O46" s="2"/>
      <c r="P46" s="2"/>
      <c r="Q46" s="2" t="s">
        <v>706</v>
      </c>
      <c r="R46" s="2"/>
      <c r="S46" s="2"/>
      <c r="T46" s="2"/>
      <c r="U46" s="2"/>
      <c r="V46" s="2"/>
      <c r="W46" s="2" t="str">
        <f>IF(INDEX(EquipmentInfo[Thuê CQ],PlanTable[[#This Row],[I]])=0,"",INDEX(EquipmentInfo[Thuê CQ],PlanTable[[#This Row],[I]]))</f>
        <v>x</v>
      </c>
      <c r="X46" s="2" t="str">
        <f>INDEX(EquipmentInfo[Người phụ trách],PlanTable[[#This Row],[I]])</f>
        <v>Thanh Hà</v>
      </c>
      <c r="Y46" s="2"/>
      <c r="Z46" s="1"/>
    </row>
    <row r="47" spans="1:26" x14ac:dyDescent="0.25">
      <c r="A47" s="2">
        <v>42</v>
      </c>
      <c r="B47" s="2">
        <f>MATCH(PlanTable[[#This Row],[Mã thiết bị]],EquipmentInfo[Mã thiết bị],0)</f>
        <v>47</v>
      </c>
      <c r="C47" s="22" t="str">
        <f>INDEX(EquipmentInfo[Tên thiết bị],MATCH(PlanTable[[#This Row],[Mã thiết bị]],EquipmentInfo[Mã thiết bị],0))</f>
        <v>Máy hút chân không LD-300</v>
      </c>
      <c r="D47" s="2" t="s">
        <v>92</v>
      </c>
      <c r="E47" s="2" t="str">
        <f>IF(INDEX(EquipmentInfo[KĐ cân],PlanTable[[#This Row],[I]])=0,"",INDEX(EquipmentInfo[KĐ cân],PlanTable[[#This Row],[I]]))</f>
        <v/>
      </c>
      <c r="F47" s="2" t="str">
        <f>IF(INDEX(EquipmentInfo[KĐ áp kế],PlanTable[[#This Row],[I]])=0,"",INDEX(EquipmentInfo[KĐ áp kế],PlanTable[[#This Row],[I]]))</f>
        <v/>
      </c>
      <c r="G47" s="2" t="str">
        <f>IF(INDEX(EquipmentInfo[KĐ AT],PlanTable[[#This Row],[I]])=0,"",INDEX(EquipmentInfo[KĐ AT],PlanTable[[#This Row],[I]]))</f>
        <v/>
      </c>
      <c r="H47" s="2" t="str">
        <f>IF(INDEX(EquipmentInfo[HC],PlanTable[[#This Row],[I]])=0,"",INDEX(EquipmentInfo[HC],PlanTable[[#This Row],[I]]))</f>
        <v/>
      </c>
      <c r="I47" s="2">
        <f>IF(INDEX(EquipmentInfo[BT],PlanTable[[#This Row],[I]])=0,"",INDEX(EquipmentInfo[BT],PlanTable[[#This Row],[I]]))</f>
        <v>12</v>
      </c>
      <c r="J47" s="2" t="str">
        <f>IF(INDEX(EquipmentInfo[PQ],PlanTable[[#This Row],[I]])=0,"",INDEX(EquipmentInfo[PQ],PlanTable[[#This Row],[I]]))</f>
        <v/>
      </c>
      <c r="K47" s="2"/>
      <c r="L47" s="2"/>
      <c r="M47" s="2"/>
      <c r="N47" s="2"/>
      <c r="O47" s="2"/>
      <c r="P47" s="2"/>
      <c r="Q47" s="2" t="s">
        <v>16</v>
      </c>
      <c r="R47" s="2"/>
      <c r="S47" s="2"/>
      <c r="T47" s="2"/>
      <c r="U47" s="2"/>
      <c r="V47" s="2"/>
      <c r="W47" s="2" t="str">
        <f>IF(INDEX(EquipmentInfo[Thuê CQ],PlanTable[[#This Row],[I]])=0,"",INDEX(EquipmentInfo[Thuê CQ],PlanTable[[#This Row],[I]]))</f>
        <v/>
      </c>
      <c r="X47" s="2" t="str">
        <f>INDEX(EquipmentInfo[Người phụ trách],PlanTable[[#This Row],[I]])</f>
        <v>Vân</v>
      </c>
      <c r="Y47" s="2"/>
      <c r="Z47" s="1"/>
    </row>
    <row r="48" spans="1:26" x14ac:dyDescent="0.25">
      <c r="A48" s="2">
        <v>43</v>
      </c>
      <c r="B48" s="2">
        <f>MATCH(PlanTable[[#This Row],[Mã thiết bị]],EquipmentInfo[Mã thiết bị],0)</f>
        <v>48</v>
      </c>
      <c r="C48" s="22" t="str">
        <f>INDEX(EquipmentInfo[Tên thiết bị],MATCH(PlanTable[[#This Row],[Mã thiết bị]],EquipmentInfo[Mã thiết bị],0))</f>
        <v>Máy thử độ kín Pharmatest</v>
      </c>
      <c r="D48" s="2" t="s">
        <v>93</v>
      </c>
      <c r="E48" s="2" t="str">
        <f>IF(INDEX(EquipmentInfo[KĐ cân],PlanTable[[#This Row],[I]])=0,"",INDEX(EquipmentInfo[KĐ cân],PlanTable[[#This Row],[I]]))</f>
        <v/>
      </c>
      <c r="F48" s="2" t="str">
        <f>IF(INDEX(EquipmentInfo[KĐ áp kế],PlanTable[[#This Row],[I]])=0,"",INDEX(EquipmentInfo[KĐ áp kế],PlanTable[[#This Row],[I]]))</f>
        <v/>
      </c>
      <c r="G48" s="2" t="str">
        <f>IF(INDEX(EquipmentInfo[KĐ AT],PlanTable[[#This Row],[I]])=0,"",INDEX(EquipmentInfo[KĐ AT],PlanTable[[#This Row],[I]]))</f>
        <v/>
      </c>
      <c r="H48" s="2" t="str">
        <f>IF(INDEX(EquipmentInfo[HC],PlanTable[[#This Row],[I]])=0,"",INDEX(EquipmentInfo[HC],PlanTable[[#This Row],[I]]))</f>
        <v/>
      </c>
      <c r="I48" s="2">
        <f>IF(INDEX(EquipmentInfo[BT],PlanTable[[#This Row],[I]])=0,"",INDEX(EquipmentInfo[BT],PlanTable[[#This Row],[I]]))</f>
        <v>12</v>
      </c>
      <c r="J48" s="2" t="str">
        <f>IF(INDEX(EquipmentInfo[PQ],PlanTable[[#This Row],[I]])=0,"",INDEX(EquipmentInfo[PQ],PlanTable[[#This Row],[I]]))</f>
        <v/>
      </c>
      <c r="K48" s="2"/>
      <c r="L48" s="2"/>
      <c r="M48" s="2"/>
      <c r="N48" s="2"/>
      <c r="O48" s="2"/>
      <c r="P48" s="2"/>
      <c r="Q48" s="2"/>
      <c r="R48" s="2"/>
      <c r="S48" s="2" t="s">
        <v>16</v>
      </c>
      <c r="T48" s="2"/>
      <c r="U48" s="2"/>
      <c r="V48" s="2"/>
      <c r="W48" s="2" t="str">
        <f>IF(INDEX(EquipmentInfo[Thuê CQ],PlanTable[[#This Row],[I]])=0,"",INDEX(EquipmentInfo[Thuê CQ],PlanTable[[#This Row],[I]]))</f>
        <v/>
      </c>
      <c r="X48" s="2" t="str">
        <f>INDEX(EquipmentInfo[Người phụ trách],PlanTable[[#This Row],[I]])</f>
        <v>Phương</v>
      </c>
      <c r="Y48" s="2"/>
      <c r="Z48" s="1"/>
    </row>
    <row r="49" spans="1:26" ht="30" x14ac:dyDescent="0.25">
      <c r="A49" s="2">
        <v>44</v>
      </c>
      <c r="B49" s="2">
        <f>MATCH(PlanTable[[#This Row],[Mã thiết bị]],EquipmentInfo[Mã thiết bị],0)</f>
        <v>49</v>
      </c>
      <c r="C49" s="22" t="str">
        <f>INDEX(EquipmentInfo[Tên thiết bị],MATCH(PlanTable[[#This Row],[Mã thiết bị]],EquipmentInfo[Mã thiết bị],0))</f>
        <v>Máy pH Mettler Toledo S220</v>
      </c>
      <c r="D49" s="2" t="s">
        <v>94</v>
      </c>
      <c r="E49" s="2" t="str">
        <f>IF(INDEX(EquipmentInfo[KĐ cân],PlanTable[[#This Row],[I]])=0,"",INDEX(EquipmentInfo[KĐ cân],PlanTable[[#This Row],[I]]))</f>
        <v/>
      </c>
      <c r="F49" s="2" t="str">
        <f>IF(INDEX(EquipmentInfo[KĐ áp kế],PlanTable[[#This Row],[I]])=0,"",INDEX(EquipmentInfo[KĐ áp kế],PlanTable[[#This Row],[I]]))</f>
        <v/>
      </c>
      <c r="G49" s="2" t="str">
        <f>IF(INDEX(EquipmentInfo[KĐ AT],PlanTable[[#This Row],[I]])=0,"",INDEX(EquipmentInfo[KĐ AT],PlanTable[[#This Row],[I]]))</f>
        <v/>
      </c>
      <c r="H49" s="2">
        <f>IF(INDEX(EquipmentInfo[HC],PlanTable[[#This Row],[I]])=0,"",INDEX(EquipmentInfo[HC],PlanTable[[#This Row],[I]]))</f>
        <v>12</v>
      </c>
      <c r="I49" s="2">
        <f>IF(INDEX(EquipmentInfo[BT],PlanTable[[#This Row],[I]])=0,"",INDEX(EquipmentInfo[BT],PlanTable[[#This Row],[I]]))</f>
        <v>6</v>
      </c>
      <c r="J49" s="2" t="str">
        <f>IF(INDEX(EquipmentInfo[PQ],PlanTable[[#This Row],[I]])=0,"",INDEX(EquipmentInfo[PQ],PlanTable[[#This Row],[I]]))</f>
        <v/>
      </c>
      <c r="K49" s="2"/>
      <c r="L49" s="2" t="s">
        <v>16</v>
      </c>
      <c r="M49" s="2"/>
      <c r="N49" s="2"/>
      <c r="O49" s="2"/>
      <c r="P49" s="2"/>
      <c r="Q49" s="2"/>
      <c r="R49" s="2" t="s">
        <v>150</v>
      </c>
      <c r="S49" s="2"/>
      <c r="T49" s="2"/>
      <c r="U49" s="2"/>
      <c r="V49" s="2"/>
      <c r="W49" s="2" t="str">
        <f>IF(INDEX(EquipmentInfo[Thuê CQ],PlanTable[[#This Row],[I]])=0,"",INDEX(EquipmentInfo[Thuê CQ],PlanTable[[#This Row],[I]]))</f>
        <v>x</v>
      </c>
      <c r="X49" s="2" t="str">
        <f>INDEX(EquipmentInfo[Người phụ trách],PlanTable[[#This Row],[I]])</f>
        <v>Thanh Hà</v>
      </c>
      <c r="Y49" s="2"/>
      <c r="Z49" s="1"/>
    </row>
    <row r="50" spans="1:26" x14ac:dyDescent="0.25">
      <c r="A50" s="2">
        <v>45</v>
      </c>
      <c r="B50" s="2">
        <f>MATCH(PlanTable[[#This Row],[Mã thiết bị]],EquipmentInfo[Mã thiết bị],0)</f>
        <v>50</v>
      </c>
      <c r="C50" s="22" t="str">
        <f>INDEX(EquipmentInfo[Tên thiết bị],MATCH(PlanTable[[#This Row],[Mã thiết bị]],EquipmentInfo[Mã thiết bị],0))</f>
        <v>Máy đo độ dẫn Mettler Toledo S230</v>
      </c>
      <c r="D50" s="2" t="s">
        <v>95</v>
      </c>
      <c r="E50" s="2" t="str">
        <f>IF(INDEX(EquipmentInfo[KĐ cân],PlanTable[[#This Row],[I]])=0,"",INDEX(EquipmentInfo[KĐ cân],PlanTable[[#This Row],[I]]))</f>
        <v/>
      </c>
      <c r="F50" s="2" t="str">
        <f>IF(INDEX(EquipmentInfo[KĐ áp kế],PlanTable[[#This Row],[I]])=0,"",INDEX(EquipmentInfo[KĐ áp kế],PlanTable[[#This Row],[I]]))</f>
        <v/>
      </c>
      <c r="G50" s="2" t="str">
        <f>IF(INDEX(EquipmentInfo[KĐ AT],PlanTable[[#This Row],[I]])=0,"",INDEX(EquipmentInfo[KĐ AT],PlanTable[[#This Row],[I]]))</f>
        <v/>
      </c>
      <c r="H50" s="2">
        <f>IF(INDEX(EquipmentInfo[HC],PlanTable[[#This Row],[I]])=0,"",INDEX(EquipmentInfo[HC],PlanTable[[#This Row],[I]]))</f>
        <v>12</v>
      </c>
      <c r="I50" s="2">
        <f>IF(INDEX(EquipmentInfo[BT],PlanTable[[#This Row],[I]])=0,"",INDEX(EquipmentInfo[BT],PlanTable[[#This Row],[I]]))</f>
        <v>6</v>
      </c>
      <c r="J50" s="2" t="str">
        <f>IF(INDEX(EquipmentInfo[PQ],PlanTable[[#This Row],[I]])=0,"",INDEX(EquipmentInfo[PQ],PlanTable[[#This Row],[I]]))</f>
        <v/>
      </c>
      <c r="K50" s="2"/>
      <c r="L50" s="2"/>
      <c r="M50" s="2"/>
      <c r="N50" s="2"/>
      <c r="O50" s="2"/>
      <c r="P50" s="2"/>
      <c r="Q50" s="2"/>
      <c r="R50" s="2"/>
      <c r="S50" s="2" t="s">
        <v>16</v>
      </c>
      <c r="T50" s="2"/>
      <c r="U50" s="2"/>
      <c r="V50" s="2"/>
      <c r="W50" s="2" t="str">
        <f>IF(INDEX(EquipmentInfo[Thuê CQ],PlanTable[[#This Row],[I]])=0,"",INDEX(EquipmentInfo[Thuê CQ],PlanTable[[#This Row],[I]]))</f>
        <v/>
      </c>
      <c r="X50" s="2" t="str">
        <f>INDEX(EquipmentInfo[Người phụ trách],PlanTable[[#This Row],[I]])</f>
        <v>Thanh Hà</v>
      </c>
      <c r="Y50" s="2"/>
      <c r="Z50" s="1"/>
    </row>
    <row r="51" spans="1:26" x14ac:dyDescent="0.25">
      <c r="A51" s="2">
        <v>46</v>
      </c>
      <c r="B51" s="2">
        <f>MATCH(PlanTable[[#This Row],[Mã thiết bị]],EquipmentInfo[Mã thiết bị],0)</f>
        <v>51</v>
      </c>
      <c r="C51" s="22" t="str">
        <f>INDEX(EquipmentInfo[Tên thiết bị],MATCH(PlanTable[[#This Row],[Mã thiết bị]],EquipmentInfo[Mã thiết bị],0))</f>
        <v>Cân Shimadzu UW420H</v>
      </c>
      <c r="D51" s="2" t="s">
        <v>96</v>
      </c>
      <c r="E51" s="2">
        <f>IF(INDEX(EquipmentInfo[KĐ cân],PlanTable[[#This Row],[I]])=0,"",INDEX(EquipmentInfo[KĐ cân],PlanTable[[#This Row],[I]]))</f>
        <v>12</v>
      </c>
      <c r="F51" s="2" t="str">
        <f>IF(INDEX(EquipmentInfo[KĐ áp kế],PlanTable[[#This Row],[I]])=0,"",INDEX(EquipmentInfo[KĐ áp kế],PlanTable[[#This Row],[I]]))</f>
        <v/>
      </c>
      <c r="G51" s="2" t="str">
        <f>IF(INDEX(EquipmentInfo[KĐ AT],PlanTable[[#This Row],[I]])=0,"",INDEX(EquipmentInfo[KĐ AT],PlanTable[[#This Row],[I]]))</f>
        <v/>
      </c>
      <c r="H51" s="2">
        <f>IF(INDEX(EquipmentInfo[HC],PlanTable[[#This Row],[I]])=0,"",INDEX(EquipmentInfo[HC],PlanTable[[#This Row],[I]]))</f>
        <v>12</v>
      </c>
      <c r="I51" s="2">
        <f>IF(INDEX(EquipmentInfo[BT],PlanTable[[#This Row],[I]])=0,"",INDEX(EquipmentInfo[BT],PlanTable[[#This Row],[I]]))</f>
        <v>3</v>
      </c>
      <c r="J51" s="2" t="str">
        <f>IF(INDEX(EquipmentInfo[PQ],PlanTable[[#This Row],[I]])=0,"",INDEX(EquipmentInfo[PQ],PlanTable[[#This Row],[I]]))</f>
        <v/>
      </c>
      <c r="K51" s="2" t="s">
        <v>16</v>
      </c>
      <c r="L51" s="2"/>
      <c r="M51" s="2" t="s">
        <v>17</v>
      </c>
      <c r="N51" s="2" t="s">
        <v>16</v>
      </c>
      <c r="O51" s="2"/>
      <c r="P51" s="2"/>
      <c r="Q51" s="2" t="s">
        <v>15</v>
      </c>
      <c r="R51" s="2"/>
      <c r="S51" s="2"/>
      <c r="T51" s="2" t="s">
        <v>16</v>
      </c>
      <c r="U51" s="2"/>
      <c r="V51" s="2"/>
      <c r="W51" s="2" t="str">
        <f>IF(INDEX(EquipmentInfo[Thuê CQ],PlanTable[[#This Row],[I]])=0,"",INDEX(EquipmentInfo[Thuê CQ],PlanTable[[#This Row],[I]]))</f>
        <v>x</v>
      </c>
      <c r="X51" s="2" t="str">
        <f>INDEX(EquipmentInfo[Người phụ trách],PlanTable[[#This Row],[I]])</f>
        <v>Vân</v>
      </c>
      <c r="Y51" s="2"/>
      <c r="Z51" s="1"/>
    </row>
    <row r="52" spans="1:26" ht="30" x14ac:dyDescent="0.25">
      <c r="A52" s="2">
        <v>47</v>
      </c>
      <c r="B52" s="2">
        <f>MATCH(PlanTable[[#This Row],[Mã thiết bị]],EquipmentInfo[Mã thiết bị],0)</f>
        <v>52</v>
      </c>
      <c r="C52" s="22" t="str">
        <f>INDEX(EquipmentInfo[Tên thiết bị],MATCH(PlanTable[[#This Row],[Mã thiết bị]],EquipmentInfo[Mã thiết bị],0))</f>
        <v>Máy HPLC Hitachi Chromaster</v>
      </c>
      <c r="D52" s="2" t="s">
        <v>97</v>
      </c>
      <c r="E52" s="2" t="str">
        <f>IF(INDEX(EquipmentInfo[KĐ cân],PlanTable[[#This Row],[I]])=0,"",INDEX(EquipmentInfo[KĐ cân],PlanTable[[#This Row],[I]]))</f>
        <v/>
      </c>
      <c r="F52" s="2" t="str">
        <f>IF(INDEX(EquipmentInfo[KĐ áp kế],PlanTable[[#This Row],[I]])=0,"",INDEX(EquipmentInfo[KĐ áp kế],PlanTable[[#This Row],[I]]))</f>
        <v/>
      </c>
      <c r="G52" s="2" t="str">
        <f>IF(INDEX(EquipmentInfo[KĐ AT],PlanTable[[#This Row],[I]])=0,"",INDEX(EquipmentInfo[KĐ AT],PlanTable[[#This Row],[I]]))</f>
        <v/>
      </c>
      <c r="H52" s="2">
        <f>IF(INDEX(EquipmentInfo[HC],PlanTable[[#This Row],[I]])=0,"",INDEX(EquipmentInfo[HC],PlanTable[[#This Row],[I]]))</f>
        <v>12</v>
      </c>
      <c r="I52" s="2">
        <f>IF(INDEX(EquipmentInfo[BT],PlanTable[[#This Row],[I]])=0,"",INDEX(EquipmentInfo[BT],PlanTable[[#This Row],[I]]))</f>
        <v>6</v>
      </c>
      <c r="J52" s="2">
        <f>IF(INDEX(EquipmentInfo[PQ],PlanTable[[#This Row],[I]])=0,"",INDEX(EquipmentInfo[PQ],PlanTable[[#This Row],[I]]))</f>
        <v>12</v>
      </c>
      <c r="K52" s="2" t="s">
        <v>16</v>
      </c>
      <c r="L52" s="2"/>
      <c r="M52" s="2"/>
      <c r="N52" s="2"/>
      <c r="O52" s="2"/>
      <c r="P52" s="2"/>
      <c r="Q52" s="2" t="s">
        <v>706</v>
      </c>
      <c r="R52" s="2"/>
      <c r="S52" s="2"/>
      <c r="T52" s="2"/>
      <c r="U52" s="2"/>
      <c r="V52" s="2"/>
      <c r="W52" s="2" t="str">
        <f>IF(INDEX(EquipmentInfo[Thuê CQ],PlanTable[[#This Row],[I]])=0,"",INDEX(EquipmentInfo[Thuê CQ],PlanTable[[#This Row],[I]]))</f>
        <v>x</v>
      </c>
      <c r="X52" s="2" t="str">
        <f>INDEX(EquipmentInfo[Người phụ trách],PlanTable[[#This Row],[I]])</f>
        <v>Thanh Hà</v>
      </c>
      <c r="Y52" s="2"/>
      <c r="Z52" s="1"/>
    </row>
    <row r="53" spans="1:26" ht="30" x14ac:dyDescent="0.25">
      <c r="A53" s="2">
        <v>48</v>
      </c>
      <c r="B53" s="2">
        <f>MATCH(PlanTable[[#This Row],[Mã thiết bị]],EquipmentInfo[Mã thiết bị],0)</f>
        <v>53</v>
      </c>
      <c r="C53" s="22" t="str">
        <f>INDEX(EquipmentInfo[Tên thiết bị],MATCH(PlanTable[[#This Row],[Mã thiết bị]],EquipmentInfo[Mã thiết bị],0))</f>
        <v>Máy lọc nước Merck Mili Q A10</v>
      </c>
      <c r="D53" s="2" t="s">
        <v>98</v>
      </c>
      <c r="E53" s="2" t="str">
        <f>IF(INDEX(EquipmentInfo[KĐ cân],PlanTable[[#This Row],[I]])=0,"",INDEX(EquipmentInfo[KĐ cân],PlanTable[[#This Row],[I]]))</f>
        <v/>
      </c>
      <c r="F53" s="2" t="str">
        <f>IF(INDEX(EquipmentInfo[KĐ áp kế],PlanTable[[#This Row],[I]])=0,"",INDEX(EquipmentInfo[KĐ áp kế],PlanTable[[#This Row],[I]]))</f>
        <v/>
      </c>
      <c r="G53" s="2" t="str">
        <f>IF(INDEX(EquipmentInfo[KĐ AT],PlanTable[[#This Row],[I]])=0,"",INDEX(EquipmentInfo[KĐ AT],PlanTable[[#This Row],[I]]))</f>
        <v/>
      </c>
      <c r="H53" s="2">
        <f>IF(INDEX(EquipmentInfo[HC],PlanTable[[#This Row],[I]])=0,"",INDEX(EquipmentInfo[HC],PlanTable[[#This Row],[I]]))</f>
        <v>12</v>
      </c>
      <c r="I53" s="2">
        <f>IF(INDEX(EquipmentInfo[BT],PlanTable[[#This Row],[I]])=0,"",INDEX(EquipmentInfo[BT],PlanTable[[#This Row],[I]]))</f>
        <v>6</v>
      </c>
      <c r="J53" s="2" t="str">
        <f>IF(INDEX(EquipmentInfo[PQ],PlanTable[[#This Row],[I]])=0,"",INDEX(EquipmentInfo[PQ],PlanTable[[#This Row],[I]]))</f>
        <v/>
      </c>
      <c r="K53" s="2"/>
      <c r="L53" s="2"/>
      <c r="M53" s="2" t="s">
        <v>16</v>
      </c>
      <c r="N53" s="2"/>
      <c r="O53" s="2"/>
      <c r="P53" s="2"/>
      <c r="Q53" s="2"/>
      <c r="R53" s="2"/>
      <c r="S53" s="2" t="s">
        <v>150</v>
      </c>
      <c r="T53" s="2"/>
      <c r="U53" s="2"/>
      <c r="V53" s="2"/>
      <c r="W53" s="2" t="str">
        <f>IF(INDEX(EquipmentInfo[Thuê CQ],PlanTable[[#This Row],[I]])=0,"",INDEX(EquipmentInfo[Thuê CQ],PlanTable[[#This Row],[I]]))</f>
        <v>x</v>
      </c>
      <c r="X53" s="2" t="str">
        <f>INDEX(EquipmentInfo[Người phụ trách],PlanTable[[#This Row],[I]])</f>
        <v>Ngọc</v>
      </c>
      <c r="Y53" s="2"/>
      <c r="Z53" s="1"/>
    </row>
    <row r="54" spans="1:26" x14ac:dyDescent="0.25">
      <c r="A54" s="2">
        <v>49</v>
      </c>
      <c r="B54" s="2">
        <f>MATCH(PlanTable[[#This Row],[Mã thiết bị]],EquipmentInfo[Mã thiết bị],0)</f>
        <v>54</v>
      </c>
      <c r="C54" s="22" t="str">
        <f>INDEX(EquipmentInfo[Tên thiết bị],MATCH(PlanTable[[#This Row],[Mã thiết bị]],EquipmentInfo[Mã thiết bị],0))</f>
        <v>Máy hàn túi Yuzhong SF-150</v>
      </c>
      <c r="D54" s="2" t="s">
        <v>99</v>
      </c>
      <c r="E54" s="2" t="str">
        <f>IF(INDEX(EquipmentInfo[KĐ cân],PlanTable[[#This Row],[I]])=0,"",INDEX(EquipmentInfo[KĐ cân],PlanTable[[#This Row],[I]]))</f>
        <v/>
      </c>
      <c r="F54" s="2" t="str">
        <f>IF(INDEX(EquipmentInfo[KĐ áp kế],PlanTable[[#This Row],[I]])=0,"",INDEX(EquipmentInfo[KĐ áp kế],PlanTable[[#This Row],[I]]))</f>
        <v/>
      </c>
      <c r="G54" s="2" t="str">
        <f>IF(INDEX(EquipmentInfo[KĐ AT],PlanTable[[#This Row],[I]])=0,"",INDEX(EquipmentInfo[KĐ AT],PlanTable[[#This Row],[I]]))</f>
        <v/>
      </c>
      <c r="H54" s="2" t="str">
        <f>IF(INDEX(EquipmentInfo[HC],PlanTable[[#This Row],[I]])=0,"",INDEX(EquipmentInfo[HC],PlanTable[[#This Row],[I]]))</f>
        <v/>
      </c>
      <c r="I54" s="2">
        <f>IF(INDEX(EquipmentInfo[BT],PlanTable[[#This Row],[I]])=0,"",INDEX(EquipmentInfo[BT],PlanTable[[#This Row],[I]]))</f>
        <v>12</v>
      </c>
      <c r="J54" s="2" t="str">
        <f>IF(INDEX(EquipmentInfo[PQ],PlanTable[[#This Row],[I]])=0,"",INDEX(EquipmentInfo[PQ],PlanTable[[#This Row],[I]]))</f>
        <v/>
      </c>
      <c r="K54" s="2"/>
      <c r="L54" s="2"/>
      <c r="M54" s="2"/>
      <c r="N54" s="2"/>
      <c r="O54" s="2" t="s">
        <v>16</v>
      </c>
      <c r="P54" s="2"/>
      <c r="Q54" s="2"/>
      <c r="R54" s="2"/>
      <c r="S54" s="2"/>
      <c r="T54" s="2"/>
      <c r="U54" s="2"/>
      <c r="V54" s="2"/>
      <c r="W54" s="2" t="str">
        <f>IF(INDEX(EquipmentInfo[Thuê CQ],PlanTable[[#This Row],[I]])=0,"",INDEX(EquipmentInfo[Thuê CQ],PlanTable[[#This Row],[I]]))</f>
        <v/>
      </c>
      <c r="X54" s="2" t="str">
        <f>INDEX(EquipmentInfo[Người phụ trách],PlanTable[[#This Row],[I]])</f>
        <v>Đỗ Hà</v>
      </c>
      <c r="Y54" s="2"/>
      <c r="Z54" s="1"/>
    </row>
    <row r="55" spans="1:26" x14ac:dyDescent="0.25">
      <c r="A55" s="2">
        <v>50</v>
      </c>
      <c r="B55" s="2">
        <f>MATCH(PlanTable[[#This Row],[Mã thiết bị]],EquipmentInfo[Mã thiết bị],0)</f>
        <v>55</v>
      </c>
      <c r="C55" s="22" t="str">
        <f>INDEX(EquipmentInfo[Tên thiết bị],MATCH(PlanTable[[#This Row],[Mã thiết bị]],EquipmentInfo[Mã thiết bị],0))</f>
        <v>Tủ lạnh Hitachi</v>
      </c>
      <c r="D55" s="2" t="s">
        <v>100</v>
      </c>
      <c r="E55" s="2" t="str">
        <f>IF(INDEX(EquipmentInfo[KĐ cân],PlanTable[[#This Row],[I]])=0,"",INDEX(EquipmentInfo[KĐ cân],PlanTable[[#This Row],[I]]))</f>
        <v/>
      </c>
      <c r="F55" s="2" t="str">
        <f>IF(INDEX(EquipmentInfo[KĐ áp kế],PlanTable[[#This Row],[I]])=0,"",INDEX(EquipmentInfo[KĐ áp kế],PlanTable[[#This Row],[I]]))</f>
        <v/>
      </c>
      <c r="G55" s="2" t="str">
        <f>IF(INDEX(EquipmentInfo[KĐ AT],PlanTable[[#This Row],[I]])=0,"",INDEX(EquipmentInfo[KĐ AT],PlanTable[[#This Row],[I]]))</f>
        <v/>
      </c>
      <c r="H55" s="2" t="str">
        <f>IF(INDEX(EquipmentInfo[HC],PlanTable[[#This Row],[I]])=0,"",INDEX(EquipmentInfo[HC],PlanTable[[#This Row],[I]]))</f>
        <v/>
      </c>
      <c r="I55" s="2">
        <f>IF(INDEX(EquipmentInfo[BT],PlanTable[[#This Row],[I]])=0,"",INDEX(EquipmentInfo[BT],PlanTable[[#This Row],[I]]))</f>
        <v>12</v>
      </c>
      <c r="J55" s="2" t="str">
        <f>IF(INDEX(EquipmentInfo[PQ],PlanTable[[#This Row],[I]])=0,"",INDEX(EquipmentInfo[PQ],PlanTable[[#This Row],[I]]))</f>
        <v/>
      </c>
      <c r="K55" s="2"/>
      <c r="L55" s="2"/>
      <c r="M55" s="2"/>
      <c r="N55" s="2"/>
      <c r="O55" s="2"/>
      <c r="P55" s="2"/>
      <c r="Q55" s="2" t="s">
        <v>15</v>
      </c>
      <c r="R55" s="2"/>
      <c r="S55" s="2"/>
      <c r="T55" s="2"/>
      <c r="U55" s="2"/>
      <c r="V55" s="2"/>
      <c r="W55" s="2" t="str">
        <f>IF(INDEX(EquipmentInfo[Thuê CQ],PlanTable[[#This Row],[I]])=0,"",INDEX(EquipmentInfo[Thuê CQ],PlanTable[[#This Row],[I]]))</f>
        <v>x</v>
      </c>
      <c r="X55" s="2" t="str">
        <f>INDEX(EquipmentInfo[Người phụ trách],PlanTable[[#This Row],[I]])</f>
        <v>Na</v>
      </c>
      <c r="Y55" s="2"/>
      <c r="Z55" s="1"/>
    </row>
    <row r="56" spans="1:26" ht="30" x14ac:dyDescent="0.25">
      <c r="A56" s="2">
        <v>51</v>
      </c>
      <c r="B56" s="2">
        <f>MATCH(PlanTable[[#This Row],[Mã thiết bị]],EquipmentInfo[Mã thiết bị],0)</f>
        <v>56</v>
      </c>
      <c r="C56" s="22" t="str">
        <f>INDEX(EquipmentInfo[Tên thiết bị],MATCH(PlanTable[[#This Row],[Mã thiết bị]],EquipmentInfo[Mã thiết bị],0))</f>
        <v>Máy UV-Vis Hitachi U-3900H</v>
      </c>
      <c r="D56" s="2" t="s">
        <v>101</v>
      </c>
      <c r="E56" s="2" t="str">
        <f>IF(INDEX(EquipmentInfo[KĐ cân],PlanTable[[#This Row],[I]])=0,"",INDEX(EquipmentInfo[KĐ cân],PlanTable[[#This Row],[I]]))</f>
        <v/>
      </c>
      <c r="F56" s="2" t="str">
        <f>IF(INDEX(EquipmentInfo[KĐ áp kế],PlanTable[[#This Row],[I]])=0,"",INDEX(EquipmentInfo[KĐ áp kế],PlanTable[[#This Row],[I]]))</f>
        <v/>
      </c>
      <c r="G56" s="2" t="str">
        <f>IF(INDEX(EquipmentInfo[KĐ AT],PlanTable[[#This Row],[I]])=0,"",INDEX(EquipmentInfo[KĐ AT],PlanTable[[#This Row],[I]]))</f>
        <v/>
      </c>
      <c r="H56" s="2">
        <f>IF(INDEX(EquipmentInfo[HC],PlanTable[[#This Row],[I]])=0,"",INDEX(EquipmentInfo[HC],PlanTable[[#This Row],[I]]))</f>
        <v>12</v>
      </c>
      <c r="I56" s="2">
        <f>IF(INDEX(EquipmentInfo[BT],PlanTable[[#This Row],[I]])=0,"",INDEX(EquipmentInfo[BT],PlanTable[[#This Row],[I]]))</f>
        <v>6</v>
      </c>
      <c r="J56" s="2" t="str">
        <f>IF(INDEX(EquipmentInfo[PQ],PlanTable[[#This Row],[I]])=0,"",INDEX(EquipmentInfo[PQ],PlanTable[[#This Row],[I]]))</f>
        <v/>
      </c>
      <c r="K56" s="2"/>
      <c r="L56" s="2" t="s">
        <v>16</v>
      </c>
      <c r="M56" s="2"/>
      <c r="N56" s="2"/>
      <c r="O56" s="2"/>
      <c r="P56" s="2"/>
      <c r="Q56" s="2"/>
      <c r="R56" s="2" t="s">
        <v>150</v>
      </c>
      <c r="S56" s="2"/>
      <c r="T56" s="2"/>
      <c r="U56" s="2"/>
      <c r="V56" s="2"/>
      <c r="W56" s="2" t="str">
        <f>IF(INDEX(EquipmentInfo[Thuê CQ],PlanTable[[#This Row],[I]])=0,"",INDEX(EquipmentInfo[Thuê CQ],PlanTable[[#This Row],[I]]))</f>
        <v>x</v>
      </c>
      <c r="X56" s="2" t="str">
        <f>INDEX(EquipmentInfo[Người phụ trách],PlanTable[[#This Row],[I]])</f>
        <v>Tuấn</v>
      </c>
      <c r="Y56" s="2"/>
      <c r="Z56" s="1"/>
    </row>
    <row r="57" spans="1:26" x14ac:dyDescent="0.25">
      <c r="A57" s="2">
        <v>52</v>
      </c>
      <c r="B57" s="2">
        <f>MATCH(PlanTable[[#This Row],[Mã thiết bị]],EquipmentInfo[Mã thiết bị],0)</f>
        <v>57</v>
      </c>
      <c r="C57" s="22" t="str">
        <f>INDEX(EquipmentInfo[Tên thiết bị],MATCH(PlanTable[[#This Row],[Mã thiết bị]],EquipmentInfo[Mã thiết bị],0))</f>
        <v>Tủ hút 5</v>
      </c>
      <c r="D57" s="2" t="s">
        <v>102</v>
      </c>
      <c r="E57" s="2" t="str">
        <f>IF(INDEX(EquipmentInfo[KĐ cân],PlanTable[[#This Row],[I]])=0,"",INDEX(EquipmentInfo[KĐ cân],PlanTable[[#This Row],[I]]))</f>
        <v/>
      </c>
      <c r="F57" s="2" t="str">
        <f>IF(INDEX(EquipmentInfo[KĐ áp kế],PlanTable[[#This Row],[I]])=0,"",INDEX(EquipmentInfo[KĐ áp kế],PlanTable[[#This Row],[I]]))</f>
        <v/>
      </c>
      <c r="G57" s="2" t="str">
        <f>IF(INDEX(EquipmentInfo[KĐ AT],PlanTable[[#This Row],[I]])=0,"",INDEX(EquipmentInfo[KĐ AT],PlanTable[[#This Row],[I]]))</f>
        <v/>
      </c>
      <c r="H57" s="2" t="str">
        <f>IF(INDEX(EquipmentInfo[HC],PlanTable[[#This Row],[I]])=0,"",INDEX(EquipmentInfo[HC],PlanTable[[#This Row],[I]]))</f>
        <v/>
      </c>
      <c r="I57" s="2">
        <f>IF(INDEX(EquipmentInfo[BT],PlanTable[[#This Row],[I]])=0,"",INDEX(EquipmentInfo[BT],PlanTable[[#This Row],[I]]))</f>
        <v>3</v>
      </c>
      <c r="J57" s="2" t="str">
        <f>IF(INDEX(EquipmentInfo[PQ],PlanTable[[#This Row],[I]])=0,"",INDEX(EquipmentInfo[PQ],PlanTable[[#This Row],[I]]))</f>
        <v/>
      </c>
      <c r="K57" s="2" t="s">
        <v>16</v>
      </c>
      <c r="L57" s="2"/>
      <c r="M57" s="2"/>
      <c r="N57" s="2" t="s">
        <v>16</v>
      </c>
      <c r="O57" s="2"/>
      <c r="P57" s="2"/>
      <c r="Q57" s="2" t="s">
        <v>16</v>
      </c>
      <c r="R57" s="2"/>
      <c r="S57" s="2"/>
      <c r="T57" s="2" t="s">
        <v>16</v>
      </c>
      <c r="U57" s="2"/>
      <c r="V57" s="2"/>
      <c r="W57" s="2" t="str">
        <f>IF(INDEX(EquipmentInfo[Thuê CQ],PlanTable[[#This Row],[I]])=0,"",INDEX(EquipmentInfo[Thuê CQ],PlanTable[[#This Row],[I]]))</f>
        <v/>
      </c>
      <c r="X57" s="2" t="str">
        <f>INDEX(EquipmentInfo[Người phụ trách],PlanTable[[#This Row],[I]])</f>
        <v>Cường</v>
      </c>
      <c r="Y57" s="2"/>
      <c r="Z57" s="1"/>
    </row>
    <row r="58" spans="1:26" x14ac:dyDescent="0.25">
      <c r="A58" s="2">
        <v>53</v>
      </c>
      <c r="B58" s="2">
        <f>MATCH(PlanTable[[#This Row],[Mã thiết bị]],EquipmentInfo[Mã thiết bị],0)</f>
        <v>58</v>
      </c>
      <c r="C58" s="22" t="str">
        <f>INDEX(EquipmentInfo[Tên thiết bị],MATCH(PlanTable[[#This Row],[Mã thiết bị]],EquipmentInfo[Mã thiết bị],0))</f>
        <v>Tủ hút 6</v>
      </c>
      <c r="D58" s="2" t="s">
        <v>103</v>
      </c>
      <c r="E58" s="2" t="str">
        <f>IF(INDEX(EquipmentInfo[KĐ cân],PlanTable[[#This Row],[I]])=0,"",INDEX(EquipmentInfo[KĐ cân],PlanTable[[#This Row],[I]]))</f>
        <v/>
      </c>
      <c r="F58" s="2" t="str">
        <f>IF(INDEX(EquipmentInfo[KĐ áp kế],PlanTable[[#This Row],[I]])=0,"",INDEX(EquipmentInfo[KĐ áp kế],PlanTable[[#This Row],[I]]))</f>
        <v/>
      </c>
      <c r="G58" s="2" t="str">
        <f>IF(INDEX(EquipmentInfo[KĐ AT],PlanTable[[#This Row],[I]])=0,"",INDEX(EquipmentInfo[KĐ AT],PlanTable[[#This Row],[I]]))</f>
        <v/>
      </c>
      <c r="H58" s="2" t="str">
        <f>IF(INDEX(EquipmentInfo[HC],PlanTable[[#This Row],[I]])=0,"",INDEX(EquipmentInfo[HC],PlanTable[[#This Row],[I]]))</f>
        <v/>
      </c>
      <c r="I58" s="2">
        <f>IF(INDEX(EquipmentInfo[BT],PlanTable[[#This Row],[I]])=0,"",INDEX(EquipmentInfo[BT],PlanTable[[#This Row],[I]]))</f>
        <v>3</v>
      </c>
      <c r="J58" s="2" t="str">
        <f>IF(INDEX(EquipmentInfo[PQ],PlanTable[[#This Row],[I]])=0,"",INDEX(EquipmentInfo[PQ],PlanTable[[#This Row],[I]]))</f>
        <v/>
      </c>
      <c r="K58" s="2" t="s">
        <v>16</v>
      </c>
      <c r="L58" s="2"/>
      <c r="M58" s="2"/>
      <c r="N58" s="2" t="s">
        <v>16</v>
      </c>
      <c r="O58" s="2"/>
      <c r="P58" s="2"/>
      <c r="Q58" s="2" t="s">
        <v>16</v>
      </c>
      <c r="R58" s="2"/>
      <c r="S58" s="2"/>
      <c r="T58" s="2" t="s">
        <v>16</v>
      </c>
      <c r="U58" s="2"/>
      <c r="V58" s="2"/>
      <c r="W58" s="2" t="str">
        <f>IF(INDEX(EquipmentInfo[Thuê CQ],PlanTable[[#This Row],[I]])=0,"",INDEX(EquipmentInfo[Thuê CQ],PlanTable[[#This Row],[I]]))</f>
        <v/>
      </c>
      <c r="X58" s="2" t="str">
        <f>INDEX(EquipmentInfo[Người phụ trách],PlanTable[[#This Row],[I]])</f>
        <v>Cường</v>
      </c>
      <c r="Y58" s="2"/>
      <c r="Z58" s="1"/>
    </row>
    <row r="59" spans="1:26" x14ac:dyDescent="0.25">
      <c r="A59" s="2">
        <v>54</v>
      </c>
      <c r="B59" s="2">
        <f>MATCH(PlanTable[[#This Row],[Mã thiết bị]],EquipmentInfo[Mã thiết bị],0)</f>
        <v>59</v>
      </c>
      <c r="C59" s="22" t="str">
        <f>INDEX(EquipmentInfo[Tên thiết bị],MATCH(PlanTable[[#This Row],[Mã thiết bị]],EquipmentInfo[Mã thiết bị],0))</f>
        <v>Máy lắc siêu âm GT Sonic VGT 1990</v>
      </c>
      <c r="D59" s="2" t="s">
        <v>104</v>
      </c>
      <c r="E59" s="2" t="str">
        <f>IF(INDEX(EquipmentInfo[KĐ cân],PlanTable[[#This Row],[I]])=0,"",INDEX(EquipmentInfo[KĐ cân],PlanTable[[#This Row],[I]]))</f>
        <v/>
      </c>
      <c r="F59" s="2" t="str">
        <f>IF(INDEX(EquipmentInfo[KĐ áp kế],PlanTable[[#This Row],[I]])=0,"",INDEX(EquipmentInfo[KĐ áp kế],PlanTable[[#This Row],[I]]))</f>
        <v/>
      </c>
      <c r="G59" s="2" t="str">
        <f>IF(INDEX(EquipmentInfo[KĐ AT],PlanTable[[#This Row],[I]])=0,"",INDEX(EquipmentInfo[KĐ AT],PlanTable[[#This Row],[I]]))</f>
        <v/>
      </c>
      <c r="H59" s="2">
        <f>IF(INDEX(EquipmentInfo[HC],PlanTable[[#This Row],[I]])=0,"",INDEX(EquipmentInfo[HC],PlanTable[[#This Row],[I]]))</f>
        <v>12</v>
      </c>
      <c r="I59" s="2" t="str">
        <f>IF(INDEX(EquipmentInfo[BT],PlanTable[[#This Row],[I]])=0,"",INDEX(EquipmentInfo[BT],PlanTable[[#This Row],[I]]))</f>
        <v/>
      </c>
      <c r="J59" s="2" t="str">
        <f>IF(INDEX(EquipmentInfo[PQ],PlanTable[[#This Row],[I]])=0,"",INDEX(EquipmentInfo[PQ],PlanTable[[#This Row],[I]]))</f>
        <v/>
      </c>
      <c r="K59" s="2"/>
      <c r="L59" s="2"/>
      <c r="M59" s="2"/>
      <c r="N59" s="2"/>
      <c r="O59" s="2" t="s">
        <v>16</v>
      </c>
      <c r="P59" s="2"/>
      <c r="Q59" s="2"/>
      <c r="R59" s="2"/>
      <c r="S59" s="2"/>
      <c r="T59" s="2"/>
      <c r="U59" s="2"/>
      <c r="V59" s="2"/>
      <c r="W59" s="2" t="str">
        <f>IF(INDEX(EquipmentInfo[Thuê CQ],PlanTable[[#This Row],[I]])=0,"",INDEX(EquipmentInfo[Thuê CQ],PlanTable[[#This Row],[I]]))</f>
        <v/>
      </c>
      <c r="X59" s="2" t="str">
        <f>INDEX(EquipmentInfo[Người phụ trách],PlanTable[[#This Row],[I]])</f>
        <v>Thắm</v>
      </c>
      <c r="Y59" s="2"/>
      <c r="Z59" s="1"/>
    </row>
    <row r="60" spans="1:26" x14ac:dyDescent="0.25">
      <c r="A60" s="2">
        <v>55</v>
      </c>
      <c r="B60" s="2">
        <f>MATCH(PlanTable[[#This Row],[Mã thiết bị]],EquipmentInfo[Mã thiết bị],0)</f>
        <v>60</v>
      </c>
      <c r="C60" s="22" t="str">
        <f>INDEX(EquipmentInfo[Tên thiết bị],MATCH(PlanTable[[#This Row],[Mã thiết bị]],EquipmentInfo[Mã thiết bị],0))</f>
        <v>Tủ mát Velp FOC 215i</v>
      </c>
      <c r="D60" s="2" t="s">
        <v>105</v>
      </c>
      <c r="E60" s="2" t="str">
        <f>IF(INDEX(EquipmentInfo[KĐ cân],PlanTable[[#This Row],[I]])=0,"",INDEX(EquipmentInfo[KĐ cân],PlanTable[[#This Row],[I]]))</f>
        <v/>
      </c>
      <c r="F60" s="2" t="str">
        <f>IF(INDEX(EquipmentInfo[KĐ áp kế],PlanTable[[#This Row],[I]])=0,"",INDEX(EquipmentInfo[KĐ áp kế],PlanTable[[#This Row],[I]]))</f>
        <v/>
      </c>
      <c r="G60" s="2" t="str">
        <f>IF(INDEX(EquipmentInfo[KĐ AT],PlanTable[[#This Row],[I]])=0,"",INDEX(EquipmentInfo[KĐ AT],PlanTable[[#This Row],[I]]))</f>
        <v/>
      </c>
      <c r="H60" s="2">
        <f>IF(INDEX(EquipmentInfo[HC],PlanTable[[#This Row],[I]])=0,"",INDEX(EquipmentInfo[HC],PlanTable[[#This Row],[I]]))</f>
        <v>12</v>
      </c>
      <c r="I60" s="2" t="str">
        <f>IF(INDEX(EquipmentInfo[BT],PlanTable[[#This Row],[I]])=0,"",INDEX(EquipmentInfo[BT],PlanTable[[#This Row],[I]]))</f>
        <v/>
      </c>
      <c r="J60" s="2" t="str">
        <f>IF(INDEX(EquipmentInfo[PQ],PlanTable[[#This Row],[I]])=0,"",INDEX(EquipmentInfo[PQ],PlanTable[[#This Row],[I]]))</f>
        <v/>
      </c>
      <c r="K60" s="2"/>
      <c r="L60" s="2"/>
      <c r="M60" s="2"/>
      <c r="N60" s="2"/>
      <c r="O60" s="2"/>
      <c r="P60" s="2"/>
      <c r="Q60" s="2" t="s">
        <v>15</v>
      </c>
      <c r="R60" s="2"/>
      <c r="S60" s="2"/>
      <c r="T60" s="2"/>
      <c r="U60" s="2"/>
      <c r="V60" s="2"/>
      <c r="W60" s="2" t="str">
        <f>IF(INDEX(EquipmentInfo[Thuê CQ],PlanTable[[#This Row],[I]])=0,"",INDEX(EquipmentInfo[Thuê CQ],PlanTable[[#This Row],[I]]))</f>
        <v>x</v>
      </c>
      <c r="X60" s="2" t="str">
        <f>INDEX(EquipmentInfo[Người phụ trách],PlanTable[[#This Row],[I]])</f>
        <v>Vân</v>
      </c>
      <c r="Y60" s="2"/>
      <c r="Z60" s="1"/>
    </row>
    <row r="61" spans="1:26" x14ac:dyDescent="0.25">
      <c r="A61" s="2">
        <v>56</v>
      </c>
      <c r="B61" s="2">
        <f>MATCH(PlanTable[[#This Row],[Mã thiết bị]],EquipmentInfo[Mã thiết bị],0)</f>
        <v>61</v>
      </c>
      <c r="C61" s="22" t="str">
        <f>INDEX(EquipmentInfo[Tên thiết bị],MATCH(PlanTable[[#This Row],[Mã thiết bị]],EquipmentInfo[Mã thiết bị],0))</f>
        <v>Máy đo nhiệt Testo 925</v>
      </c>
      <c r="D61" s="2" t="s">
        <v>106</v>
      </c>
      <c r="E61" s="2" t="str">
        <f>IF(INDEX(EquipmentInfo[KĐ cân],PlanTable[[#This Row],[I]])=0,"",INDEX(EquipmentInfo[KĐ cân],PlanTable[[#This Row],[I]]))</f>
        <v/>
      </c>
      <c r="F61" s="2" t="str">
        <f>IF(INDEX(EquipmentInfo[KĐ áp kế],PlanTable[[#This Row],[I]])=0,"",INDEX(EquipmentInfo[KĐ áp kế],PlanTable[[#This Row],[I]]))</f>
        <v/>
      </c>
      <c r="G61" s="2" t="str">
        <f>IF(INDEX(EquipmentInfo[KĐ AT],PlanTable[[#This Row],[I]])=0,"",INDEX(EquipmentInfo[KĐ AT],PlanTable[[#This Row],[I]]))</f>
        <v/>
      </c>
      <c r="H61" s="2">
        <f>IF(INDEX(EquipmentInfo[HC],PlanTable[[#This Row],[I]])=0,"",INDEX(EquipmentInfo[HC],PlanTable[[#This Row],[I]]))</f>
        <v>12</v>
      </c>
      <c r="I61" s="2" t="str">
        <f>IF(INDEX(EquipmentInfo[BT],PlanTable[[#This Row],[I]])=0,"",INDEX(EquipmentInfo[BT],PlanTable[[#This Row],[I]]))</f>
        <v/>
      </c>
      <c r="J61" s="2" t="str">
        <f>IF(INDEX(EquipmentInfo[PQ],PlanTable[[#This Row],[I]])=0,"",INDEX(EquipmentInfo[PQ],PlanTable[[#This Row],[I]]))</f>
        <v/>
      </c>
      <c r="K61" s="2"/>
      <c r="L61" s="2"/>
      <c r="M61" s="2"/>
      <c r="N61" s="2" t="s">
        <v>15</v>
      </c>
      <c r="O61" s="2"/>
      <c r="P61" s="2"/>
      <c r="Q61" s="2"/>
      <c r="R61" s="2"/>
      <c r="S61" s="2"/>
      <c r="T61" s="2"/>
      <c r="U61" s="2"/>
      <c r="V61" s="2"/>
      <c r="W61" s="2" t="str">
        <f>IF(INDEX(EquipmentInfo[Thuê CQ],PlanTable[[#This Row],[I]])=0,"",INDEX(EquipmentInfo[Thuê CQ],PlanTable[[#This Row],[I]]))</f>
        <v>x</v>
      </c>
      <c r="X61" s="2" t="str">
        <f>INDEX(EquipmentInfo[Người phụ trách],PlanTable[[#This Row],[I]])</f>
        <v>Tuấn</v>
      </c>
      <c r="Y61" s="2"/>
      <c r="Z61" s="1"/>
    </row>
    <row r="62" spans="1:26" x14ac:dyDescent="0.25">
      <c r="A62" s="2">
        <v>57</v>
      </c>
      <c r="B62" s="2">
        <f>MATCH(PlanTable[[#This Row],[Mã thiết bị]],EquipmentInfo[Mã thiết bị],0)</f>
        <v>62</v>
      </c>
      <c r="C62" s="22" t="str">
        <f>INDEX(EquipmentInfo[Tên thiết bị],MATCH(PlanTable[[#This Row],[Mã thiết bị]],EquipmentInfo[Mã thiết bị],0))</f>
        <v>Máy đo nhiệt Testo 925</v>
      </c>
      <c r="D62" s="2" t="s">
        <v>107</v>
      </c>
      <c r="E62" s="2" t="str">
        <f>IF(INDEX(EquipmentInfo[KĐ cân],PlanTable[[#This Row],[I]])=0,"",INDEX(EquipmentInfo[KĐ cân],PlanTable[[#This Row],[I]]))</f>
        <v/>
      </c>
      <c r="F62" s="2" t="str">
        <f>IF(INDEX(EquipmentInfo[KĐ áp kế],PlanTable[[#This Row],[I]])=0,"",INDEX(EquipmentInfo[KĐ áp kế],PlanTable[[#This Row],[I]]))</f>
        <v/>
      </c>
      <c r="G62" s="2" t="str">
        <f>IF(INDEX(EquipmentInfo[KĐ AT],PlanTable[[#This Row],[I]])=0,"",INDEX(EquipmentInfo[KĐ AT],PlanTable[[#This Row],[I]]))</f>
        <v/>
      </c>
      <c r="H62" s="2">
        <f>IF(INDEX(EquipmentInfo[HC],PlanTable[[#This Row],[I]])=0,"",INDEX(EquipmentInfo[HC],PlanTable[[#This Row],[I]]))</f>
        <v>12</v>
      </c>
      <c r="I62" s="2" t="str">
        <f>IF(INDEX(EquipmentInfo[BT],PlanTable[[#This Row],[I]])=0,"",INDEX(EquipmentInfo[BT],PlanTable[[#This Row],[I]]))</f>
        <v/>
      </c>
      <c r="J62" s="2" t="str">
        <f>IF(INDEX(EquipmentInfo[PQ],PlanTable[[#This Row],[I]])=0,"",INDEX(EquipmentInfo[PQ],PlanTable[[#This Row],[I]]))</f>
        <v/>
      </c>
      <c r="K62" s="2"/>
      <c r="L62" s="2"/>
      <c r="M62" s="2"/>
      <c r="N62" s="2" t="s">
        <v>15</v>
      </c>
      <c r="O62" s="2"/>
      <c r="P62" s="2"/>
      <c r="Q62" s="2"/>
      <c r="R62" s="2"/>
      <c r="S62" s="2"/>
      <c r="T62" s="2"/>
      <c r="U62" s="2"/>
      <c r="V62" s="2"/>
      <c r="W62" s="2" t="str">
        <f>IF(INDEX(EquipmentInfo[Thuê CQ],PlanTable[[#This Row],[I]])=0,"",INDEX(EquipmentInfo[Thuê CQ],PlanTable[[#This Row],[I]]))</f>
        <v>x</v>
      </c>
      <c r="X62" s="2" t="str">
        <f>INDEX(EquipmentInfo[Người phụ trách],PlanTable[[#This Row],[I]])</f>
        <v>Tuấn</v>
      </c>
      <c r="Y62" s="2"/>
      <c r="Z62" s="1"/>
    </row>
    <row r="63" spans="1:26" x14ac:dyDescent="0.25">
      <c r="A63" s="2">
        <v>58</v>
      </c>
      <c r="B63" s="2">
        <f>MATCH(PlanTable[[#This Row],[Mã thiết bị]],EquipmentInfo[Mã thiết bị],0)</f>
        <v>63</v>
      </c>
      <c r="C63" s="22" t="str">
        <f>INDEX(EquipmentInfo[Tên thiết bị],MATCH(PlanTable[[#This Row],[Mã thiết bị]],EquipmentInfo[Mã thiết bị],0))</f>
        <v>Đầu đo nhiệt -50 - 400°C</v>
      </c>
      <c r="D63" s="2" t="s">
        <v>108</v>
      </c>
      <c r="E63" s="2" t="str">
        <f>IF(INDEX(EquipmentInfo[KĐ cân],PlanTable[[#This Row],[I]])=0,"",INDEX(EquipmentInfo[KĐ cân],PlanTable[[#This Row],[I]]))</f>
        <v/>
      </c>
      <c r="F63" s="2" t="str">
        <f>IF(INDEX(EquipmentInfo[KĐ áp kế],PlanTable[[#This Row],[I]])=0,"",INDEX(EquipmentInfo[KĐ áp kế],PlanTable[[#This Row],[I]]))</f>
        <v/>
      </c>
      <c r="G63" s="2" t="str">
        <f>IF(INDEX(EquipmentInfo[KĐ AT],PlanTable[[#This Row],[I]])=0,"",INDEX(EquipmentInfo[KĐ AT],PlanTable[[#This Row],[I]]))</f>
        <v/>
      </c>
      <c r="H63" s="2">
        <f>IF(INDEX(EquipmentInfo[HC],PlanTable[[#This Row],[I]])=0,"",INDEX(EquipmentInfo[HC],PlanTable[[#This Row],[I]]))</f>
        <v>12</v>
      </c>
      <c r="I63" s="2" t="str">
        <f>IF(INDEX(EquipmentInfo[BT],PlanTable[[#This Row],[I]])=0,"",INDEX(EquipmentInfo[BT],PlanTable[[#This Row],[I]]))</f>
        <v/>
      </c>
      <c r="J63" s="2" t="str">
        <f>IF(INDEX(EquipmentInfo[PQ],PlanTable[[#This Row],[I]])=0,"",INDEX(EquipmentInfo[PQ],PlanTable[[#This Row],[I]]))</f>
        <v/>
      </c>
      <c r="K63" s="2"/>
      <c r="L63" s="2"/>
      <c r="M63" s="2"/>
      <c r="N63" s="2" t="s">
        <v>15</v>
      </c>
      <c r="O63" s="2"/>
      <c r="P63" s="2"/>
      <c r="Q63" s="2"/>
      <c r="R63" s="2"/>
      <c r="S63" s="2"/>
      <c r="T63" s="2"/>
      <c r="U63" s="2"/>
      <c r="V63" s="2"/>
      <c r="W63" s="2" t="str">
        <f>IF(INDEX(EquipmentInfo[Thuê CQ],PlanTable[[#This Row],[I]])=0,"",INDEX(EquipmentInfo[Thuê CQ],PlanTable[[#This Row],[I]]))</f>
        <v>x</v>
      </c>
      <c r="X63" s="2" t="str">
        <f>INDEX(EquipmentInfo[Người phụ trách],PlanTable[[#This Row],[I]])</f>
        <v>Tuấn</v>
      </c>
      <c r="Y63" s="2"/>
      <c r="Z63" s="1"/>
    </row>
    <row r="64" spans="1:26" x14ac:dyDescent="0.25">
      <c r="A64" s="2">
        <v>59</v>
      </c>
      <c r="B64" s="2">
        <f>MATCH(PlanTable[[#This Row],[Mã thiết bị]],EquipmentInfo[Mã thiết bị],0)</f>
        <v>64</v>
      </c>
      <c r="C64" s="22" t="str">
        <f>INDEX(EquipmentInfo[Tên thiết bị],MATCH(PlanTable[[#This Row],[Mã thiết bị]],EquipmentInfo[Mã thiết bị],0))</f>
        <v>Đầu đo nhiệt -50 - 400°C</v>
      </c>
      <c r="D64" s="2" t="s">
        <v>109</v>
      </c>
      <c r="E64" s="2" t="str">
        <f>IF(INDEX(EquipmentInfo[KĐ cân],PlanTable[[#This Row],[I]])=0,"",INDEX(EquipmentInfo[KĐ cân],PlanTable[[#This Row],[I]]))</f>
        <v/>
      </c>
      <c r="F64" s="2" t="str">
        <f>IF(INDEX(EquipmentInfo[KĐ áp kế],PlanTable[[#This Row],[I]])=0,"",INDEX(EquipmentInfo[KĐ áp kế],PlanTable[[#This Row],[I]]))</f>
        <v/>
      </c>
      <c r="G64" s="2" t="str">
        <f>IF(INDEX(EquipmentInfo[KĐ AT],PlanTable[[#This Row],[I]])=0,"",INDEX(EquipmentInfo[KĐ AT],PlanTable[[#This Row],[I]]))</f>
        <v/>
      </c>
      <c r="H64" s="2">
        <f>IF(INDEX(EquipmentInfo[HC],PlanTable[[#This Row],[I]])=0,"",INDEX(EquipmentInfo[HC],PlanTable[[#This Row],[I]]))</f>
        <v>12</v>
      </c>
      <c r="I64" s="2" t="str">
        <f>IF(INDEX(EquipmentInfo[BT],PlanTable[[#This Row],[I]])=0,"",INDEX(EquipmentInfo[BT],PlanTable[[#This Row],[I]]))</f>
        <v/>
      </c>
      <c r="J64" s="2" t="str">
        <f>IF(INDEX(EquipmentInfo[PQ],PlanTable[[#This Row],[I]])=0,"",INDEX(EquipmentInfo[PQ],PlanTable[[#This Row],[I]]))</f>
        <v/>
      </c>
      <c r="K64" s="2"/>
      <c r="L64" s="2"/>
      <c r="M64" s="2"/>
      <c r="N64" s="2" t="s">
        <v>15</v>
      </c>
      <c r="O64" s="2"/>
      <c r="P64" s="2"/>
      <c r="Q64" s="2"/>
      <c r="R64" s="2"/>
      <c r="S64" s="2"/>
      <c r="T64" s="2"/>
      <c r="U64" s="2"/>
      <c r="V64" s="2"/>
      <c r="W64" s="2" t="str">
        <f>IF(INDEX(EquipmentInfo[Thuê CQ],PlanTable[[#This Row],[I]])=0,"",INDEX(EquipmentInfo[Thuê CQ],PlanTable[[#This Row],[I]]))</f>
        <v>x</v>
      </c>
      <c r="X64" s="2" t="str">
        <f>INDEX(EquipmentInfo[Người phụ trách],PlanTable[[#This Row],[I]])</f>
        <v>Tuấn</v>
      </c>
      <c r="Y64" s="2"/>
      <c r="Z64" s="1"/>
    </row>
    <row r="65" spans="1:26" x14ac:dyDescent="0.25">
      <c r="A65" s="2">
        <v>60</v>
      </c>
      <c r="B65" s="2">
        <f>MATCH(PlanTable[[#This Row],[Mã thiết bị]],EquipmentInfo[Mã thiết bị],0)</f>
        <v>65</v>
      </c>
      <c r="C65" s="22" t="str">
        <f>INDEX(EquipmentInfo[Tên thiết bị],MATCH(PlanTable[[#This Row],[Mã thiết bị]],EquipmentInfo[Mã thiết bị],0))</f>
        <v>Nhiệt kế vẩy Maxima (-10 - 150°C)</v>
      </c>
      <c r="D65" s="2" t="s">
        <v>110</v>
      </c>
      <c r="E65" s="2" t="str">
        <f>IF(INDEX(EquipmentInfo[KĐ cân],PlanTable[[#This Row],[I]])=0,"",INDEX(EquipmentInfo[KĐ cân],PlanTable[[#This Row],[I]]))</f>
        <v/>
      </c>
      <c r="F65" s="2" t="str">
        <f>IF(INDEX(EquipmentInfo[KĐ áp kế],PlanTable[[#This Row],[I]])=0,"",INDEX(EquipmentInfo[KĐ áp kế],PlanTable[[#This Row],[I]]))</f>
        <v/>
      </c>
      <c r="G65" s="2" t="str">
        <f>IF(INDEX(EquipmentInfo[KĐ AT],PlanTable[[#This Row],[I]])=0,"",INDEX(EquipmentInfo[KĐ AT],PlanTable[[#This Row],[I]]))</f>
        <v/>
      </c>
      <c r="H65" s="2">
        <f>IF(INDEX(EquipmentInfo[HC],PlanTable[[#This Row],[I]])=0,"",INDEX(EquipmentInfo[HC],PlanTable[[#This Row],[I]]))</f>
        <v>12</v>
      </c>
      <c r="I65" s="2" t="str">
        <f>IF(INDEX(EquipmentInfo[BT],PlanTable[[#This Row],[I]])=0,"",INDEX(EquipmentInfo[BT],PlanTable[[#This Row],[I]]))</f>
        <v/>
      </c>
      <c r="J65" s="2" t="str">
        <f>IF(INDEX(EquipmentInfo[PQ],PlanTable[[#This Row],[I]])=0,"",INDEX(EquipmentInfo[PQ],PlanTable[[#This Row],[I]]))</f>
        <v/>
      </c>
      <c r="K65" s="2"/>
      <c r="L65" s="2"/>
      <c r="M65" s="2"/>
      <c r="N65" s="2" t="s">
        <v>15</v>
      </c>
      <c r="O65" s="2"/>
      <c r="P65" s="2"/>
      <c r="Q65" s="2"/>
      <c r="R65" s="2"/>
      <c r="S65" s="2"/>
      <c r="T65" s="2"/>
      <c r="U65" s="2"/>
      <c r="V65" s="2"/>
      <c r="W65" s="2" t="str">
        <f>IF(INDEX(EquipmentInfo[Thuê CQ],PlanTable[[#This Row],[I]])=0,"",INDEX(EquipmentInfo[Thuê CQ],PlanTable[[#This Row],[I]]))</f>
        <v>x</v>
      </c>
      <c r="X65" s="2" t="str">
        <f>INDEX(EquipmentInfo[Người phụ trách],PlanTable[[#This Row],[I]])</f>
        <v>Vân</v>
      </c>
      <c r="Y65" s="2"/>
      <c r="Z65" s="1"/>
    </row>
    <row r="66" spans="1:26" x14ac:dyDescent="0.25">
      <c r="A66" s="2">
        <v>61</v>
      </c>
      <c r="B66" s="2">
        <f>MATCH(PlanTable[[#This Row],[Mã thiết bị]],EquipmentInfo[Mã thiết bị],0)</f>
        <v>66</v>
      </c>
      <c r="C66" s="22" t="str">
        <f>INDEX(EquipmentInfo[Tên thiết bị],MATCH(PlanTable[[#This Row],[Mã thiết bị]],EquipmentInfo[Mã thiết bị],0))</f>
        <v>Thước inox Swordfish 500 mm</v>
      </c>
      <c r="D66" s="2" t="s">
        <v>111</v>
      </c>
      <c r="E66" s="2" t="str">
        <f>IF(INDEX(EquipmentInfo[KĐ cân],PlanTable[[#This Row],[I]])=0,"",INDEX(EquipmentInfo[KĐ cân],PlanTable[[#This Row],[I]]))</f>
        <v/>
      </c>
      <c r="F66" s="2" t="str">
        <f>IF(INDEX(EquipmentInfo[KĐ áp kế],PlanTable[[#This Row],[I]])=0,"",INDEX(EquipmentInfo[KĐ áp kế],PlanTable[[#This Row],[I]]))</f>
        <v/>
      </c>
      <c r="G66" s="2" t="str">
        <f>IF(INDEX(EquipmentInfo[KĐ AT],PlanTable[[#This Row],[I]])=0,"",INDEX(EquipmentInfo[KĐ AT],PlanTable[[#This Row],[I]]))</f>
        <v/>
      </c>
      <c r="H66" s="2">
        <f>IF(INDEX(EquipmentInfo[HC],PlanTable[[#This Row],[I]])=0,"",INDEX(EquipmentInfo[HC],PlanTable[[#This Row],[I]]))</f>
        <v>12</v>
      </c>
      <c r="I66" s="2" t="str">
        <f>IF(INDEX(EquipmentInfo[BT],PlanTable[[#This Row],[I]])=0,"",INDEX(EquipmentInfo[BT],PlanTable[[#This Row],[I]]))</f>
        <v/>
      </c>
      <c r="J66" s="2" t="str">
        <f>IF(INDEX(EquipmentInfo[PQ],PlanTable[[#This Row],[I]])=0,"",INDEX(EquipmentInfo[PQ],PlanTable[[#This Row],[I]]))</f>
        <v/>
      </c>
      <c r="K66" s="2"/>
      <c r="L66" s="2"/>
      <c r="M66" s="2"/>
      <c r="N66" s="2" t="s">
        <v>15</v>
      </c>
      <c r="O66" s="2"/>
      <c r="P66" s="2"/>
      <c r="Q66" s="2"/>
      <c r="R66" s="2"/>
      <c r="S66" s="2"/>
      <c r="T66" s="2"/>
      <c r="U66" s="2"/>
      <c r="V66" s="2"/>
      <c r="W66" s="2" t="str">
        <f>IF(INDEX(EquipmentInfo[Thuê CQ],PlanTable[[#This Row],[I]])=0,"",INDEX(EquipmentInfo[Thuê CQ],PlanTable[[#This Row],[I]]))</f>
        <v>x</v>
      </c>
      <c r="X66" s="2" t="str">
        <f>INDEX(EquipmentInfo[Người phụ trách],PlanTable[[#This Row],[I]])</f>
        <v>Quý</v>
      </c>
      <c r="Y66" s="2"/>
      <c r="Z66" s="1"/>
    </row>
    <row r="67" spans="1:26" ht="30" x14ac:dyDescent="0.25">
      <c r="A67" s="2">
        <v>62</v>
      </c>
      <c r="B67" s="2">
        <f>MATCH(PlanTable[[#This Row],[Mã thiết bị]],EquipmentInfo[Mã thiết bị],0)</f>
        <v>67</v>
      </c>
      <c r="C67" s="22" t="str">
        <f>INDEX(EquipmentInfo[Tên thiết bị],MATCH(PlanTable[[#This Row],[Mã thiết bị]],EquipmentInfo[Mã thiết bị],0))</f>
        <v>Máy ly tâm Universal 320</v>
      </c>
      <c r="D67" s="2" t="s">
        <v>112</v>
      </c>
      <c r="E67" s="2" t="str">
        <f>IF(INDEX(EquipmentInfo[KĐ cân],PlanTable[[#This Row],[I]])=0,"",INDEX(EquipmentInfo[KĐ cân],PlanTable[[#This Row],[I]]))</f>
        <v/>
      </c>
      <c r="F67" s="2" t="str">
        <f>IF(INDEX(EquipmentInfo[KĐ áp kế],PlanTable[[#This Row],[I]])=0,"",INDEX(EquipmentInfo[KĐ áp kế],PlanTable[[#This Row],[I]]))</f>
        <v/>
      </c>
      <c r="G67" s="2" t="str">
        <f>IF(INDEX(EquipmentInfo[KĐ AT],PlanTable[[#This Row],[I]])=0,"",INDEX(EquipmentInfo[KĐ AT],PlanTable[[#This Row],[I]]))</f>
        <v/>
      </c>
      <c r="H67" s="2" t="str">
        <f>IF(INDEX(EquipmentInfo[HC],PlanTable[[#This Row],[I]])=0,"",INDEX(EquipmentInfo[HC],PlanTable[[#This Row],[I]]))</f>
        <v/>
      </c>
      <c r="I67" s="2">
        <f>IF(INDEX(EquipmentInfo[BT],PlanTable[[#This Row],[I]])=0,"",INDEX(EquipmentInfo[BT],PlanTable[[#This Row],[I]]))</f>
        <v>12</v>
      </c>
      <c r="J67" s="2" t="str">
        <f>IF(INDEX(EquipmentInfo[PQ],PlanTable[[#This Row],[I]])=0,"",INDEX(EquipmentInfo[PQ],PlanTable[[#This Row],[I]]))</f>
        <v/>
      </c>
      <c r="K67" s="2"/>
      <c r="L67" s="2" t="s">
        <v>16</v>
      </c>
      <c r="M67" s="2"/>
      <c r="N67" s="2"/>
      <c r="O67" s="2"/>
      <c r="P67" s="2"/>
      <c r="Q67" s="2"/>
      <c r="R67" s="2" t="s">
        <v>150</v>
      </c>
      <c r="S67" s="2"/>
      <c r="T67" s="2"/>
      <c r="U67" s="2"/>
      <c r="V67" s="2"/>
      <c r="W67" s="2" t="str">
        <f>IF(INDEX(EquipmentInfo[Thuê CQ],PlanTable[[#This Row],[I]])=0,"",INDEX(EquipmentInfo[Thuê CQ],PlanTable[[#This Row],[I]]))</f>
        <v>x</v>
      </c>
      <c r="X67" s="2" t="str">
        <f>INDEX(EquipmentInfo[Người phụ trách],PlanTable[[#This Row],[I]])</f>
        <v>Cường</v>
      </c>
      <c r="Y67" s="2"/>
      <c r="Z67" s="1"/>
    </row>
    <row r="68" spans="1:26" x14ac:dyDescent="0.25">
      <c r="A68" s="2">
        <v>63</v>
      </c>
      <c r="B68" s="2">
        <f>MATCH(PlanTable[[#This Row],[Mã thiết bị]],EquipmentInfo[Mã thiết bị],0)</f>
        <v>68</v>
      </c>
      <c r="C68" s="22" t="str">
        <f>INDEX(EquipmentInfo[Tên thiết bị],MATCH(PlanTable[[#This Row],[Mã thiết bị]],EquipmentInfo[Mã thiết bị],0))</f>
        <v>Micropipette 20 - 200 µL</v>
      </c>
      <c r="D68" s="2" t="s">
        <v>113</v>
      </c>
      <c r="E68" s="2" t="str">
        <f>IF(INDEX(EquipmentInfo[KĐ cân],PlanTable[[#This Row],[I]])=0,"",INDEX(EquipmentInfo[KĐ cân],PlanTable[[#This Row],[I]]))</f>
        <v/>
      </c>
      <c r="F68" s="2" t="str">
        <f>IF(INDEX(EquipmentInfo[KĐ áp kế],PlanTable[[#This Row],[I]])=0,"",INDEX(EquipmentInfo[KĐ áp kế],PlanTable[[#This Row],[I]]))</f>
        <v/>
      </c>
      <c r="G68" s="2" t="str">
        <f>IF(INDEX(EquipmentInfo[KĐ AT],PlanTable[[#This Row],[I]])=0,"",INDEX(EquipmentInfo[KĐ AT],PlanTable[[#This Row],[I]]))</f>
        <v/>
      </c>
      <c r="H68" s="2">
        <f>IF(INDEX(EquipmentInfo[HC],PlanTable[[#This Row],[I]])=0,"",INDEX(EquipmentInfo[HC],PlanTable[[#This Row],[I]]))</f>
        <v>6</v>
      </c>
      <c r="I68" s="2" t="str">
        <f>IF(INDEX(EquipmentInfo[BT],PlanTable[[#This Row],[I]])=0,"",INDEX(EquipmentInfo[BT],PlanTable[[#This Row],[I]]))</f>
        <v/>
      </c>
      <c r="J68" s="2" t="str">
        <f>IF(INDEX(EquipmentInfo[PQ],PlanTable[[#This Row],[I]])=0,"",INDEX(EquipmentInfo[PQ],PlanTable[[#This Row],[I]]))</f>
        <v/>
      </c>
      <c r="K68" s="2"/>
      <c r="L68" s="2"/>
      <c r="M68" s="2"/>
      <c r="N68" s="2"/>
      <c r="O68" s="2" t="s">
        <v>15</v>
      </c>
      <c r="P68" s="2"/>
      <c r="Q68" s="2"/>
      <c r="R68" s="2"/>
      <c r="S68" s="2"/>
      <c r="T68" s="2"/>
      <c r="U68" s="2" t="s">
        <v>15</v>
      </c>
      <c r="V68" s="2"/>
      <c r="W68" s="2" t="str">
        <f>IF(INDEX(EquipmentInfo[Thuê CQ],PlanTable[[#This Row],[I]])=0,"",INDEX(EquipmentInfo[Thuê CQ],PlanTable[[#This Row],[I]]))</f>
        <v>x</v>
      </c>
      <c r="X68" s="2" t="str">
        <f>INDEX(EquipmentInfo[Người phụ trách],PlanTable[[#This Row],[I]])</f>
        <v>Vân</v>
      </c>
      <c r="Y68" s="2"/>
      <c r="Z68" s="1"/>
    </row>
    <row r="69" spans="1:26" x14ac:dyDescent="0.25">
      <c r="A69" s="2">
        <v>64</v>
      </c>
      <c r="B69" s="2">
        <f>MATCH(PlanTable[[#This Row],[Mã thiết bị]],EquipmentInfo[Mã thiết bị],0)</f>
        <v>69</v>
      </c>
      <c r="C69" s="22" t="str">
        <f>INDEX(EquipmentInfo[Tên thiết bị],MATCH(PlanTable[[#This Row],[Mã thiết bị]],EquipmentInfo[Mã thiết bị],0))</f>
        <v>Micropipette 100 - 1000 µL</v>
      </c>
      <c r="D69" s="2" t="s">
        <v>114</v>
      </c>
      <c r="E69" s="2" t="str">
        <f>IF(INDEX(EquipmentInfo[KĐ cân],PlanTable[[#This Row],[I]])=0,"",INDEX(EquipmentInfo[KĐ cân],PlanTable[[#This Row],[I]]))</f>
        <v/>
      </c>
      <c r="F69" s="2" t="str">
        <f>IF(INDEX(EquipmentInfo[KĐ áp kế],PlanTable[[#This Row],[I]])=0,"",INDEX(EquipmentInfo[KĐ áp kế],PlanTable[[#This Row],[I]]))</f>
        <v/>
      </c>
      <c r="G69" s="2" t="str">
        <f>IF(INDEX(EquipmentInfo[KĐ AT],PlanTable[[#This Row],[I]])=0,"",INDEX(EquipmentInfo[KĐ AT],PlanTable[[#This Row],[I]]))</f>
        <v/>
      </c>
      <c r="H69" s="2">
        <f>IF(INDEX(EquipmentInfo[HC],PlanTable[[#This Row],[I]])=0,"",INDEX(EquipmentInfo[HC],PlanTable[[#This Row],[I]]))</f>
        <v>6</v>
      </c>
      <c r="I69" s="2" t="str">
        <f>IF(INDEX(EquipmentInfo[BT],PlanTable[[#This Row],[I]])=0,"",INDEX(EquipmentInfo[BT],PlanTable[[#This Row],[I]]))</f>
        <v/>
      </c>
      <c r="J69" s="2" t="str">
        <f>IF(INDEX(EquipmentInfo[PQ],PlanTable[[#This Row],[I]])=0,"",INDEX(EquipmentInfo[PQ],PlanTable[[#This Row],[I]]))</f>
        <v/>
      </c>
      <c r="K69" s="2"/>
      <c r="L69" s="2"/>
      <c r="M69" s="2"/>
      <c r="N69" s="2"/>
      <c r="O69" s="2" t="s">
        <v>15</v>
      </c>
      <c r="P69" s="2"/>
      <c r="Q69" s="2"/>
      <c r="R69" s="2"/>
      <c r="S69" s="2"/>
      <c r="T69" s="2"/>
      <c r="U69" s="2" t="s">
        <v>15</v>
      </c>
      <c r="V69" s="2"/>
      <c r="W69" s="2" t="str">
        <f>IF(INDEX(EquipmentInfo[Thuê CQ],PlanTable[[#This Row],[I]])=0,"",INDEX(EquipmentInfo[Thuê CQ],PlanTable[[#This Row],[I]]))</f>
        <v>x</v>
      </c>
      <c r="X69" s="2" t="str">
        <f>INDEX(EquipmentInfo[Người phụ trách],PlanTable[[#This Row],[I]])</f>
        <v>Vân</v>
      </c>
      <c r="Y69" s="2"/>
      <c r="Z69" s="1"/>
    </row>
    <row r="70" spans="1:26" x14ac:dyDescent="0.25">
      <c r="A70" s="2">
        <v>65</v>
      </c>
      <c r="B70" s="2">
        <f>MATCH(PlanTable[[#This Row],[Mã thiết bị]],EquipmentInfo[Mã thiết bị],0)</f>
        <v>70</v>
      </c>
      <c r="C70" s="22" t="str">
        <f>INDEX(EquipmentInfo[Tên thiết bị],MATCH(PlanTable[[#This Row],[Mã thiết bị]],EquipmentInfo[Mã thiết bị],0))</f>
        <v>Micropipette 100 - 1000 µL</v>
      </c>
      <c r="D70" s="2" t="s">
        <v>115</v>
      </c>
      <c r="E70" s="2" t="str">
        <f>IF(INDEX(EquipmentInfo[KĐ cân],PlanTable[[#This Row],[I]])=0,"",INDEX(EquipmentInfo[KĐ cân],PlanTable[[#This Row],[I]]))</f>
        <v/>
      </c>
      <c r="F70" s="2" t="str">
        <f>IF(INDEX(EquipmentInfo[KĐ áp kế],PlanTable[[#This Row],[I]])=0,"",INDEX(EquipmentInfo[KĐ áp kế],PlanTable[[#This Row],[I]]))</f>
        <v/>
      </c>
      <c r="G70" s="2" t="str">
        <f>IF(INDEX(EquipmentInfo[KĐ AT],PlanTable[[#This Row],[I]])=0,"",INDEX(EquipmentInfo[KĐ AT],PlanTable[[#This Row],[I]]))</f>
        <v/>
      </c>
      <c r="H70" s="2">
        <f>IF(INDEX(EquipmentInfo[HC],PlanTable[[#This Row],[I]])=0,"",INDEX(EquipmentInfo[HC],PlanTable[[#This Row],[I]]))</f>
        <v>6</v>
      </c>
      <c r="I70" s="2" t="str">
        <f>IF(INDEX(EquipmentInfo[BT],PlanTable[[#This Row],[I]])=0,"",INDEX(EquipmentInfo[BT],PlanTable[[#This Row],[I]]))</f>
        <v/>
      </c>
      <c r="J70" s="2" t="str">
        <f>IF(INDEX(EquipmentInfo[PQ],PlanTable[[#This Row],[I]])=0,"",INDEX(EquipmentInfo[PQ],PlanTable[[#This Row],[I]]))</f>
        <v/>
      </c>
      <c r="K70" s="2"/>
      <c r="L70" s="2"/>
      <c r="M70" s="2"/>
      <c r="N70" s="2"/>
      <c r="O70" s="2" t="s">
        <v>15</v>
      </c>
      <c r="P70" s="2"/>
      <c r="Q70" s="2"/>
      <c r="R70" s="2"/>
      <c r="S70" s="2"/>
      <c r="T70" s="2"/>
      <c r="U70" s="2" t="s">
        <v>15</v>
      </c>
      <c r="V70" s="2"/>
      <c r="W70" s="2" t="str">
        <f>IF(INDEX(EquipmentInfo[Thuê CQ],PlanTable[[#This Row],[I]])=0,"",INDEX(EquipmentInfo[Thuê CQ],PlanTable[[#This Row],[I]]))</f>
        <v>x</v>
      </c>
      <c r="X70" s="2" t="str">
        <f>INDEX(EquipmentInfo[Người phụ trách],PlanTable[[#This Row],[I]])</f>
        <v>Vân</v>
      </c>
      <c r="Y70" s="2"/>
      <c r="Z70" s="1"/>
    </row>
    <row r="71" spans="1:26" x14ac:dyDescent="0.25">
      <c r="A71" s="2">
        <v>66</v>
      </c>
      <c r="B71" s="2">
        <f>MATCH(PlanTable[[#This Row],[Mã thiết bị]],EquipmentInfo[Mã thiết bị],0)</f>
        <v>71</v>
      </c>
      <c r="C71" s="22" t="str">
        <f>INDEX(EquipmentInfo[Tên thiết bị],MATCH(PlanTable[[#This Row],[Mã thiết bị]],EquipmentInfo[Mã thiết bị],0))</f>
        <v>Bếp cách thủy HH-4</v>
      </c>
      <c r="D71" s="2" t="s">
        <v>116</v>
      </c>
      <c r="E71" s="2" t="str">
        <f>IF(INDEX(EquipmentInfo[KĐ cân],PlanTable[[#This Row],[I]])=0,"",INDEX(EquipmentInfo[KĐ cân],PlanTable[[#This Row],[I]]))</f>
        <v/>
      </c>
      <c r="F71" s="2" t="str">
        <f>IF(INDEX(EquipmentInfo[KĐ áp kế],PlanTable[[#This Row],[I]])=0,"",INDEX(EquipmentInfo[KĐ áp kế],PlanTable[[#This Row],[I]]))</f>
        <v/>
      </c>
      <c r="G71" s="2" t="str">
        <f>IF(INDEX(EquipmentInfo[KĐ AT],PlanTable[[#This Row],[I]])=0,"",INDEX(EquipmentInfo[KĐ AT],PlanTable[[#This Row],[I]]))</f>
        <v/>
      </c>
      <c r="H71" s="2" t="str">
        <f>IF(INDEX(EquipmentInfo[HC],PlanTable[[#This Row],[I]])=0,"",INDEX(EquipmentInfo[HC],PlanTable[[#This Row],[I]]))</f>
        <v/>
      </c>
      <c r="I71" s="2">
        <f>IF(INDEX(EquipmentInfo[BT],PlanTable[[#This Row],[I]])=0,"",INDEX(EquipmentInfo[BT],PlanTable[[#This Row],[I]]))</f>
        <v>12</v>
      </c>
      <c r="J71" s="2" t="str">
        <f>IF(INDEX(EquipmentInfo[PQ],PlanTable[[#This Row],[I]])=0,"",INDEX(EquipmentInfo[PQ],PlanTable[[#This Row],[I]]))</f>
        <v/>
      </c>
      <c r="K71" s="2"/>
      <c r="L71" s="2"/>
      <c r="M71" s="2"/>
      <c r="N71" s="2"/>
      <c r="O71" s="2"/>
      <c r="P71" s="2"/>
      <c r="Q71" s="2" t="s">
        <v>16</v>
      </c>
      <c r="R71" s="2"/>
      <c r="S71" s="2"/>
      <c r="T71" s="2"/>
      <c r="U71" s="2"/>
      <c r="V71" s="2"/>
      <c r="W71" s="2" t="str">
        <f>IF(INDEX(EquipmentInfo[Thuê CQ],PlanTable[[#This Row],[I]])=0,"",INDEX(EquipmentInfo[Thuê CQ],PlanTable[[#This Row],[I]]))</f>
        <v/>
      </c>
      <c r="X71" s="2" t="str">
        <f>INDEX(EquipmentInfo[Người phụ trách],PlanTable[[#This Row],[I]])</f>
        <v>Thắm</v>
      </c>
      <c r="Y71" s="2"/>
      <c r="Z71" s="1"/>
    </row>
    <row r="72" spans="1:26" x14ac:dyDescent="0.25">
      <c r="A72" s="2">
        <v>67</v>
      </c>
      <c r="B72" s="2">
        <f>MATCH(PlanTable[[#This Row],[Mã thiết bị]],EquipmentInfo[Mã thiết bị],0)</f>
        <v>72</v>
      </c>
      <c r="C72" s="22" t="str">
        <f>INDEX(EquipmentInfo[Tên thiết bị],MATCH(PlanTable[[#This Row],[Mã thiết bị]],EquipmentInfo[Mã thiết bị],0))</f>
        <v>Máy lắc ngang HY-4</v>
      </c>
      <c r="D72" s="2" t="s">
        <v>117</v>
      </c>
      <c r="E72" s="2" t="str">
        <f>IF(INDEX(EquipmentInfo[KĐ cân],PlanTable[[#This Row],[I]])=0,"",INDEX(EquipmentInfo[KĐ cân],PlanTable[[#This Row],[I]]))</f>
        <v/>
      </c>
      <c r="F72" s="2" t="str">
        <f>IF(INDEX(EquipmentInfo[KĐ áp kế],PlanTable[[#This Row],[I]])=0,"",INDEX(EquipmentInfo[KĐ áp kế],PlanTable[[#This Row],[I]]))</f>
        <v/>
      </c>
      <c r="G72" s="2" t="str">
        <f>IF(INDEX(EquipmentInfo[KĐ AT],PlanTable[[#This Row],[I]])=0,"",INDEX(EquipmentInfo[KĐ AT],PlanTable[[#This Row],[I]]))</f>
        <v/>
      </c>
      <c r="H72" s="2" t="str">
        <f>IF(INDEX(EquipmentInfo[HC],PlanTable[[#This Row],[I]])=0,"",INDEX(EquipmentInfo[HC],PlanTable[[#This Row],[I]]))</f>
        <v/>
      </c>
      <c r="I72" s="2">
        <f>IF(INDEX(EquipmentInfo[BT],PlanTable[[#This Row],[I]])=0,"",INDEX(EquipmentInfo[BT],PlanTable[[#This Row],[I]]))</f>
        <v>12</v>
      </c>
      <c r="J72" s="2" t="str">
        <f>IF(INDEX(EquipmentInfo[PQ],PlanTable[[#This Row],[I]])=0,"",INDEX(EquipmentInfo[PQ],PlanTable[[#This Row],[I]]))</f>
        <v/>
      </c>
      <c r="K72" s="2"/>
      <c r="L72" s="2"/>
      <c r="M72" s="2"/>
      <c r="N72" s="2"/>
      <c r="O72" s="2"/>
      <c r="P72" s="2"/>
      <c r="Q72" s="2"/>
      <c r="R72" s="2"/>
      <c r="S72" s="2" t="s">
        <v>16</v>
      </c>
      <c r="T72" s="2"/>
      <c r="U72" s="2"/>
      <c r="V72" s="2"/>
      <c r="W72" s="2" t="str">
        <f>IF(INDEX(EquipmentInfo[Thuê CQ],PlanTable[[#This Row],[I]])=0,"",INDEX(EquipmentInfo[Thuê CQ],PlanTable[[#This Row],[I]]))</f>
        <v/>
      </c>
      <c r="X72" s="2" t="str">
        <f>INDEX(EquipmentInfo[Người phụ trách],PlanTable[[#This Row],[I]])</f>
        <v>Thắm</v>
      </c>
      <c r="Y72" s="2"/>
      <c r="Z72" s="1"/>
    </row>
    <row r="73" spans="1:26" x14ac:dyDescent="0.25">
      <c r="A73" s="2">
        <v>68</v>
      </c>
      <c r="B73" s="2">
        <f>MATCH(PlanTable[[#This Row],[Mã thiết bị]],EquipmentInfo[Mã thiết bị],0)</f>
        <v>73</v>
      </c>
      <c r="C73" s="22" t="str">
        <f>INDEX(EquipmentInfo[Tên thiết bị],MATCH(PlanTable[[#This Row],[Mã thiết bị]],EquipmentInfo[Mã thiết bị],0))</f>
        <v>Nhiệt kế thủy tinh (0 - 100 °C)</v>
      </c>
      <c r="D73" s="2" t="s">
        <v>118</v>
      </c>
      <c r="E73" s="2" t="str">
        <f>IF(INDEX(EquipmentInfo[KĐ cân],PlanTable[[#This Row],[I]])=0,"",INDEX(EquipmentInfo[KĐ cân],PlanTable[[#This Row],[I]]))</f>
        <v/>
      </c>
      <c r="F73" s="2" t="str">
        <f>IF(INDEX(EquipmentInfo[KĐ áp kế],PlanTable[[#This Row],[I]])=0,"",INDEX(EquipmentInfo[KĐ áp kế],PlanTable[[#This Row],[I]]))</f>
        <v/>
      </c>
      <c r="G73" s="2" t="str">
        <f>IF(INDEX(EquipmentInfo[KĐ AT],PlanTable[[#This Row],[I]])=0,"",INDEX(EquipmentInfo[KĐ AT],PlanTable[[#This Row],[I]]))</f>
        <v/>
      </c>
      <c r="H73" s="2">
        <f>IF(INDEX(EquipmentInfo[HC],PlanTable[[#This Row],[I]])=0,"",INDEX(EquipmentInfo[HC],PlanTable[[#This Row],[I]]))</f>
        <v>12</v>
      </c>
      <c r="I73" s="2" t="str">
        <f>IF(INDEX(EquipmentInfo[BT],PlanTable[[#This Row],[I]])=0,"",INDEX(EquipmentInfo[BT],PlanTable[[#This Row],[I]]))</f>
        <v/>
      </c>
      <c r="J73" s="2" t="str">
        <f>IF(INDEX(EquipmentInfo[PQ],PlanTable[[#This Row],[I]])=0,"",INDEX(EquipmentInfo[PQ],PlanTable[[#This Row],[I]]))</f>
        <v/>
      </c>
      <c r="K73" s="2"/>
      <c r="L73" s="2"/>
      <c r="M73" s="2"/>
      <c r="N73" s="2"/>
      <c r="O73" s="2"/>
      <c r="P73" s="2"/>
      <c r="Q73" s="2"/>
      <c r="R73" s="2"/>
      <c r="S73" s="2"/>
      <c r="T73" s="2"/>
      <c r="U73" s="2" t="s">
        <v>16</v>
      </c>
      <c r="V73" s="2"/>
      <c r="W73" s="2" t="str">
        <f>IF(INDEX(EquipmentInfo[Thuê CQ],PlanTable[[#This Row],[I]])=0,"",INDEX(EquipmentInfo[Thuê CQ],PlanTable[[#This Row],[I]]))</f>
        <v/>
      </c>
      <c r="X73" s="2" t="str">
        <f>INDEX(EquipmentInfo[Người phụ trách],PlanTable[[#This Row],[I]])</f>
        <v>Thắm</v>
      </c>
      <c r="Y73" s="2"/>
      <c r="Z73" s="1"/>
    </row>
    <row r="74" spans="1:26" x14ac:dyDescent="0.25">
      <c r="A74" s="2">
        <v>69</v>
      </c>
      <c r="B74" s="2">
        <f>MATCH(PlanTable[[#This Row],[Mã thiết bị]],EquipmentInfo[Mã thiết bị],0)</f>
        <v>74</v>
      </c>
      <c r="C74" s="22" t="str">
        <f>INDEX(EquipmentInfo[Tên thiết bị],MATCH(PlanTable[[#This Row],[Mã thiết bị]],EquipmentInfo[Mã thiết bị],0))</f>
        <v>Nhiệt kế thủy tinh (0 - 100 °C)</v>
      </c>
      <c r="D74" s="2" t="s">
        <v>119</v>
      </c>
      <c r="E74" s="2" t="str">
        <f>IF(INDEX(EquipmentInfo[KĐ cân],PlanTable[[#This Row],[I]])=0,"",INDEX(EquipmentInfo[KĐ cân],PlanTable[[#This Row],[I]]))</f>
        <v/>
      </c>
      <c r="F74" s="2" t="str">
        <f>IF(INDEX(EquipmentInfo[KĐ áp kế],PlanTable[[#This Row],[I]])=0,"",INDEX(EquipmentInfo[KĐ áp kế],PlanTable[[#This Row],[I]]))</f>
        <v/>
      </c>
      <c r="G74" s="2" t="str">
        <f>IF(INDEX(EquipmentInfo[KĐ AT],PlanTable[[#This Row],[I]])=0,"",INDEX(EquipmentInfo[KĐ AT],PlanTable[[#This Row],[I]]))</f>
        <v/>
      </c>
      <c r="H74" s="2">
        <f>IF(INDEX(EquipmentInfo[HC],PlanTable[[#This Row],[I]])=0,"",INDEX(EquipmentInfo[HC],PlanTable[[#This Row],[I]]))</f>
        <v>12</v>
      </c>
      <c r="I74" s="2" t="str">
        <f>IF(INDEX(EquipmentInfo[BT],PlanTable[[#This Row],[I]])=0,"",INDEX(EquipmentInfo[BT],PlanTable[[#This Row],[I]]))</f>
        <v/>
      </c>
      <c r="J74" s="2" t="str">
        <f>IF(INDEX(EquipmentInfo[PQ],PlanTable[[#This Row],[I]])=0,"",INDEX(EquipmentInfo[PQ],PlanTable[[#This Row],[I]]))</f>
        <v/>
      </c>
      <c r="K74" s="2"/>
      <c r="L74" s="2"/>
      <c r="M74" s="2"/>
      <c r="N74" s="2"/>
      <c r="O74" s="2"/>
      <c r="P74" s="2"/>
      <c r="Q74" s="2"/>
      <c r="R74" s="2"/>
      <c r="S74" s="2"/>
      <c r="T74" s="2"/>
      <c r="U74" s="2" t="s">
        <v>16</v>
      </c>
      <c r="V74" s="2"/>
      <c r="W74" s="2" t="str">
        <f>IF(INDEX(EquipmentInfo[Thuê CQ],PlanTable[[#This Row],[I]])=0,"",INDEX(EquipmentInfo[Thuê CQ],PlanTable[[#This Row],[I]]))</f>
        <v/>
      </c>
      <c r="X74" s="2" t="str">
        <f>INDEX(EquipmentInfo[Người phụ trách],PlanTable[[#This Row],[I]])</f>
        <v>Thắm</v>
      </c>
      <c r="Y74" s="2"/>
      <c r="Z74" s="1"/>
    </row>
    <row r="75" spans="1:26" x14ac:dyDescent="0.25">
      <c r="A75" s="2">
        <v>70</v>
      </c>
      <c r="B75" s="2">
        <f>MATCH(PlanTable[[#This Row],[Mã thiết bị]],EquipmentInfo[Mã thiết bị],0)</f>
        <v>75</v>
      </c>
      <c r="C75" s="22" t="str">
        <f>INDEX(EquipmentInfo[Tên thiết bị],MATCH(PlanTable[[#This Row],[Mã thiết bị]],EquipmentInfo[Mã thiết bị],0))</f>
        <v>Nhiệt kế thủy tinh (0 - 100 °C)</v>
      </c>
      <c r="D75" s="2" t="s">
        <v>120</v>
      </c>
      <c r="E75" s="2" t="str">
        <f>IF(INDEX(EquipmentInfo[KĐ cân],PlanTable[[#This Row],[I]])=0,"",INDEX(EquipmentInfo[KĐ cân],PlanTable[[#This Row],[I]]))</f>
        <v/>
      </c>
      <c r="F75" s="2" t="str">
        <f>IF(INDEX(EquipmentInfo[KĐ áp kế],PlanTable[[#This Row],[I]])=0,"",INDEX(EquipmentInfo[KĐ áp kế],PlanTable[[#This Row],[I]]))</f>
        <v/>
      </c>
      <c r="G75" s="2" t="str">
        <f>IF(INDEX(EquipmentInfo[KĐ AT],PlanTable[[#This Row],[I]])=0,"",INDEX(EquipmentInfo[KĐ AT],PlanTable[[#This Row],[I]]))</f>
        <v/>
      </c>
      <c r="H75" s="2">
        <f>IF(INDEX(EquipmentInfo[HC],PlanTable[[#This Row],[I]])=0,"",INDEX(EquipmentInfo[HC],PlanTable[[#This Row],[I]]))</f>
        <v>12</v>
      </c>
      <c r="I75" s="2" t="str">
        <f>IF(INDEX(EquipmentInfo[BT],PlanTable[[#This Row],[I]])=0,"",INDEX(EquipmentInfo[BT],PlanTable[[#This Row],[I]]))</f>
        <v/>
      </c>
      <c r="J75" s="2" t="str">
        <f>IF(INDEX(EquipmentInfo[PQ],PlanTable[[#This Row],[I]])=0,"",INDEX(EquipmentInfo[PQ],PlanTable[[#This Row],[I]]))</f>
        <v/>
      </c>
      <c r="K75" s="2"/>
      <c r="L75" s="2"/>
      <c r="M75" s="2"/>
      <c r="N75" s="2"/>
      <c r="O75" s="2"/>
      <c r="P75" s="2"/>
      <c r="Q75" s="2"/>
      <c r="R75" s="2"/>
      <c r="S75" s="2"/>
      <c r="T75" s="2"/>
      <c r="U75" s="2" t="s">
        <v>16</v>
      </c>
      <c r="V75" s="2"/>
      <c r="W75" s="2" t="str">
        <f>IF(INDEX(EquipmentInfo[Thuê CQ],PlanTable[[#This Row],[I]])=0,"",INDEX(EquipmentInfo[Thuê CQ],PlanTable[[#This Row],[I]]))</f>
        <v/>
      </c>
      <c r="X75" s="2" t="str">
        <f>INDEX(EquipmentInfo[Người phụ trách],PlanTable[[#This Row],[I]])</f>
        <v>Thắm</v>
      </c>
      <c r="Y75" s="2"/>
      <c r="Z75" s="1"/>
    </row>
    <row r="76" spans="1:26" x14ac:dyDescent="0.25">
      <c r="A76" s="2">
        <v>71</v>
      </c>
      <c r="B76" s="2">
        <f>MATCH(PlanTable[[#This Row],[Mã thiết bị]],EquipmentInfo[Mã thiết bị],0)</f>
        <v>76</v>
      </c>
      <c r="C76" s="22" t="str">
        <f>INDEX(EquipmentInfo[Tên thiết bị],MATCH(PlanTable[[#This Row],[Mã thiết bị]],EquipmentInfo[Mã thiết bị],0))</f>
        <v>Nhiệt kế thủy tinh (0 - 100 °C)</v>
      </c>
      <c r="D76" s="2" t="s">
        <v>121</v>
      </c>
      <c r="E76" s="2" t="str">
        <f>IF(INDEX(EquipmentInfo[KĐ cân],PlanTable[[#This Row],[I]])=0,"",INDEX(EquipmentInfo[KĐ cân],PlanTable[[#This Row],[I]]))</f>
        <v/>
      </c>
      <c r="F76" s="2" t="str">
        <f>IF(INDEX(EquipmentInfo[KĐ áp kế],PlanTable[[#This Row],[I]])=0,"",INDEX(EquipmentInfo[KĐ áp kế],PlanTable[[#This Row],[I]]))</f>
        <v/>
      </c>
      <c r="G76" s="2" t="str">
        <f>IF(INDEX(EquipmentInfo[KĐ AT],PlanTable[[#This Row],[I]])=0,"",INDEX(EquipmentInfo[KĐ AT],PlanTable[[#This Row],[I]]))</f>
        <v/>
      </c>
      <c r="H76" s="2">
        <f>IF(INDEX(EquipmentInfo[HC],PlanTable[[#This Row],[I]])=0,"",INDEX(EquipmentInfo[HC],PlanTable[[#This Row],[I]]))</f>
        <v>12</v>
      </c>
      <c r="I76" s="2" t="str">
        <f>IF(INDEX(EquipmentInfo[BT],PlanTable[[#This Row],[I]])=0,"",INDEX(EquipmentInfo[BT],PlanTable[[#This Row],[I]]))</f>
        <v/>
      </c>
      <c r="J76" s="2" t="str">
        <f>IF(INDEX(EquipmentInfo[PQ],PlanTable[[#This Row],[I]])=0,"",INDEX(EquipmentInfo[PQ],PlanTable[[#This Row],[I]]))</f>
        <v/>
      </c>
      <c r="K76" s="2"/>
      <c r="L76" s="2"/>
      <c r="M76" s="2"/>
      <c r="N76" s="2"/>
      <c r="O76" s="2"/>
      <c r="P76" s="2"/>
      <c r="Q76" s="2"/>
      <c r="R76" s="2"/>
      <c r="S76" s="2"/>
      <c r="T76" s="2"/>
      <c r="U76" s="2" t="s">
        <v>16</v>
      </c>
      <c r="V76" s="2"/>
      <c r="W76" s="2" t="str">
        <f>IF(INDEX(EquipmentInfo[Thuê CQ],PlanTable[[#This Row],[I]])=0,"",INDEX(EquipmentInfo[Thuê CQ],PlanTable[[#This Row],[I]]))</f>
        <v/>
      </c>
      <c r="X76" s="2" t="str">
        <f>INDEX(EquipmentInfo[Người phụ trách],PlanTable[[#This Row],[I]])</f>
        <v>Thắm</v>
      </c>
      <c r="Y76" s="2"/>
      <c r="Z76" s="1"/>
    </row>
    <row r="77" spans="1:26" ht="30" x14ac:dyDescent="0.25">
      <c r="A77" s="2">
        <v>72</v>
      </c>
      <c r="B77" s="2">
        <f>MATCH(PlanTable[[#This Row],[Mã thiết bị]],EquipmentInfo[Mã thiết bị],0)</f>
        <v>77</v>
      </c>
      <c r="C77" s="22" t="str">
        <f>INDEX(EquipmentInfo[Tên thiết bị],MATCH(PlanTable[[#This Row],[Mã thiết bị]],EquipmentInfo[Mã thiết bị],0))</f>
        <v>Máy hòa tan Pharmatest PTWS 1220</v>
      </c>
      <c r="D77" s="2" t="s">
        <v>122</v>
      </c>
      <c r="E77" s="2" t="str">
        <f>IF(INDEX(EquipmentInfo[KĐ cân],PlanTable[[#This Row],[I]])=0,"",INDEX(EquipmentInfo[KĐ cân],PlanTable[[#This Row],[I]]))</f>
        <v/>
      </c>
      <c r="F77" s="2" t="str">
        <f>IF(INDEX(EquipmentInfo[KĐ áp kế],PlanTable[[#This Row],[I]])=0,"",INDEX(EquipmentInfo[KĐ áp kế],PlanTable[[#This Row],[I]]))</f>
        <v/>
      </c>
      <c r="G77" s="2" t="str">
        <f>IF(INDEX(EquipmentInfo[KĐ AT],PlanTable[[#This Row],[I]])=0,"",INDEX(EquipmentInfo[KĐ AT],PlanTable[[#This Row],[I]]))</f>
        <v/>
      </c>
      <c r="H77" s="2">
        <f>IF(INDEX(EquipmentInfo[HC],PlanTable[[#This Row],[I]])=0,"",INDEX(EquipmentInfo[HC],PlanTable[[#This Row],[I]]))</f>
        <v>12</v>
      </c>
      <c r="I77" s="2">
        <f>IF(INDEX(EquipmentInfo[BT],PlanTable[[#This Row],[I]])=0,"",INDEX(EquipmentInfo[BT],PlanTable[[#This Row],[I]]))</f>
        <v>6</v>
      </c>
      <c r="J77" s="2" t="str">
        <f>IF(INDEX(EquipmentInfo[PQ],PlanTable[[#This Row],[I]])=0,"",INDEX(EquipmentInfo[PQ],PlanTable[[#This Row],[I]]))</f>
        <v/>
      </c>
      <c r="K77" s="2" t="s">
        <v>16</v>
      </c>
      <c r="L77" s="2"/>
      <c r="M77" s="2"/>
      <c r="N77" s="2"/>
      <c r="O77" s="2"/>
      <c r="P77" s="2"/>
      <c r="Q77" s="2"/>
      <c r="R77" s="2" t="s">
        <v>150</v>
      </c>
      <c r="S77" s="2"/>
      <c r="T77" s="2"/>
      <c r="U77" s="2"/>
      <c r="V77" s="2"/>
      <c r="W77" s="2" t="str">
        <f>IF(INDEX(EquipmentInfo[Thuê CQ],PlanTable[[#This Row],[I]])=0,"",INDEX(EquipmentInfo[Thuê CQ],PlanTable[[#This Row],[I]]))</f>
        <v>x</v>
      </c>
      <c r="X77" s="2" t="str">
        <f>INDEX(EquipmentInfo[Người phụ trách],PlanTable[[#This Row],[I]])</f>
        <v>Tuấn</v>
      </c>
      <c r="Y77" s="2"/>
      <c r="Z77" s="1"/>
    </row>
    <row r="78" spans="1:26" x14ac:dyDescent="0.25">
      <c r="A78" s="2">
        <v>73</v>
      </c>
      <c r="B78" s="2">
        <f>MATCH(PlanTable[[#This Row],[Mã thiết bị]],EquipmentInfo[Mã thiết bị],0)</f>
        <v>78</v>
      </c>
      <c r="C78" s="22" t="str">
        <f>INDEX(EquipmentInfo[Tên thiết bị],MATCH(PlanTable[[#This Row],[Mã thiết bị]],EquipmentInfo[Mã thiết bị],0))</f>
        <v>Đầu đo nhiệt -50 - 400°C</v>
      </c>
      <c r="D78" s="2" t="s">
        <v>123</v>
      </c>
      <c r="E78" s="2" t="str">
        <f>IF(INDEX(EquipmentInfo[KĐ cân],PlanTable[[#This Row],[I]])=0,"",INDEX(EquipmentInfo[KĐ cân],PlanTable[[#This Row],[I]]))</f>
        <v/>
      </c>
      <c r="F78" s="2" t="str">
        <f>IF(INDEX(EquipmentInfo[KĐ áp kế],PlanTable[[#This Row],[I]])=0,"",INDEX(EquipmentInfo[KĐ áp kế],PlanTable[[#This Row],[I]]))</f>
        <v/>
      </c>
      <c r="G78" s="2" t="str">
        <f>IF(INDEX(EquipmentInfo[KĐ AT],PlanTable[[#This Row],[I]])=0,"",INDEX(EquipmentInfo[KĐ AT],PlanTable[[#This Row],[I]]))</f>
        <v/>
      </c>
      <c r="H78" s="2">
        <f>IF(INDEX(EquipmentInfo[HC],PlanTable[[#This Row],[I]])=0,"",INDEX(EquipmentInfo[HC],PlanTable[[#This Row],[I]]))</f>
        <v>12</v>
      </c>
      <c r="I78" s="2" t="str">
        <f>IF(INDEX(EquipmentInfo[BT],PlanTable[[#This Row],[I]])=0,"",INDEX(EquipmentInfo[BT],PlanTable[[#This Row],[I]]))</f>
        <v/>
      </c>
      <c r="J78" s="2" t="str">
        <f>IF(INDEX(EquipmentInfo[PQ],PlanTable[[#This Row],[I]])=0,"",INDEX(EquipmentInfo[PQ],PlanTable[[#This Row],[I]]))</f>
        <v/>
      </c>
      <c r="K78" s="2"/>
      <c r="L78" s="2"/>
      <c r="M78" s="2"/>
      <c r="N78" s="2" t="s">
        <v>15</v>
      </c>
      <c r="O78" s="2"/>
      <c r="P78" s="2"/>
      <c r="Q78" s="2"/>
      <c r="R78" s="2"/>
      <c r="S78" s="2"/>
      <c r="T78" s="2"/>
      <c r="U78" s="2"/>
      <c r="V78" s="2"/>
      <c r="W78" s="2" t="str">
        <f>IF(INDEX(EquipmentInfo[Thuê CQ],PlanTable[[#This Row],[I]])=0,"",INDEX(EquipmentInfo[Thuê CQ],PlanTable[[#This Row],[I]]))</f>
        <v>x</v>
      </c>
      <c r="X78" s="2" t="str">
        <f>INDEX(EquipmentInfo[Người phụ trách],PlanTable[[#This Row],[I]])</f>
        <v>Tuấn</v>
      </c>
      <c r="Y78" s="2"/>
      <c r="Z78" s="1"/>
    </row>
    <row r="79" spans="1:26" x14ac:dyDescent="0.25">
      <c r="A79" s="2">
        <v>74</v>
      </c>
      <c r="B79" s="2">
        <f>MATCH(PlanTable[[#This Row],[Mã thiết bị]],EquipmentInfo[Mã thiết bị],0)</f>
        <v>79</v>
      </c>
      <c r="C79" s="22" t="str">
        <f>INDEX(EquipmentInfo[Tên thiết bị],MATCH(PlanTable[[#This Row],[Mã thiết bị]],EquipmentInfo[Mã thiết bị],0))</f>
        <v>Máy lấy mẫu không khí MiniCapt 100 M</v>
      </c>
      <c r="D79" s="2" t="s">
        <v>124</v>
      </c>
      <c r="E79" s="2" t="str">
        <f>IF(INDEX(EquipmentInfo[KĐ cân],PlanTable[[#This Row],[I]])=0,"",INDEX(EquipmentInfo[KĐ cân],PlanTable[[#This Row],[I]]))</f>
        <v/>
      </c>
      <c r="F79" s="2" t="str">
        <f>IF(INDEX(EquipmentInfo[KĐ áp kế],PlanTable[[#This Row],[I]])=0,"",INDEX(EquipmentInfo[KĐ áp kế],PlanTable[[#This Row],[I]]))</f>
        <v/>
      </c>
      <c r="G79" s="2" t="str">
        <f>IF(INDEX(EquipmentInfo[KĐ AT],PlanTable[[#This Row],[I]])=0,"",INDEX(EquipmentInfo[KĐ AT],PlanTable[[#This Row],[I]]))</f>
        <v/>
      </c>
      <c r="H79" s="2">
        <f>IF(INDEX(EquipmentInfo[HC],PlanTable[[#This Row],[I]])=0,"",INDEX(EquipmentInfo[HC],PlanTable[[#This Row],[I]]))</f>
        <v>12</v>
      </c>
      <c r="I79" s="2" t="str">
        <f>IF(INDEX(EquipmentInfo[BT],PlanTable[[#This Row],[I]])=0,"",INDEX(EquipmentInfo[BT],PlanTable[[#This Row],[I]]))</f>
        <v/>
      </c>
      <c r="J79" s="2" t="str">
        <f>IF(INDEX(EquipmentInfo[PQ],PlanTable[[#This Row],[I]])=0,"",INDEX(EquipmentInfo[PQ],PlanTable[[#This Row],[I]]))</f>
        <v/>
      </c>
      <c r="K79" s="2"/>
      <c r="L79" s="2"/>
      <c r="M79" s="2"/>
      <c r="N79" s="2"/>
      <c r="O79" s="2"/>
      <c r="P79" s="2"/>
      <c r="Q79" s="2" t="s">
        <v>15</v>
      </c>
      <c r="R79" s="2"/>
      <c r="S79" s="2"/>
      <c r="T79" s="2"/>
      <c r="U79" s="2"/>
      <c r="V79" s="2"/>
      <c r="W79" s="2" t="str">
        <f>IF(INDEX(EquipmentInfo[Thuê CQ],PlanTable[[#This Row],[I]])=0,"",INDEX(EquipmentInfo[Thuê CQ],PlanTable[[#This Row],[I]]))</f>
        <v>x</v>
      </c>
      <c r="X79" s="2" t="str">
        <f>INDEX(EquipmentInfo[Người phụ trách],PlanTable[[#This Row],[I]])</f>
        <v>Vân</v>
      </c>
      <c r="Y79" s="2"/>
      <c r="Z79" s="1"/>
    </row>
    <row r="80" spans="1:26" x14ac:dyDescent="0.25">
      <c r="A80" s="2">
        <v>75</v>
      </c>
      <c r="B80" s="2">
        <f>MATCH(PlanTable[[#This Row],[Mã thiết bị]],EquipmentInfo[Mã thiết bị],0)</f>
        <v>80</v>
      </c>
      <c r="C80" s="22" t="str">
        <f>INDEX(EquipmentInfo[Tên thiết bị],MATCH(PlanTable[[#This Row],[Mã thiết bị]],EquipmentInfo[Mã thiết bị],0))</f>
        <v>Micropipette 1 - 10 mL</v>
      </c>
      <c r="D80" s="2" t="s">
        <v>125</v>
      </c>
      <c r="E80" s="2" t="str">
        <f>IF(INDEX(EquipmentInfo[KĐ cân],PlanTable[[#This Row],[I]])=0,"",INDEX(EquipmentInfo[KĐ cân],PlanTable[[#This Row],[I]]))</f>
        <v/>
      </c>
      <c r="F80" s="2" t="str">
        <f>IF(INDEX(EquipmentInfo[KĐ áp kế],PlanTable[[#This Row],[I]])=0,"",INDEX(EquipmentInfo[KĐ áp kế],PlanTable[[#This Row],[I]]))</f>
        <v/>
      </c>
      <c r="G80" s="2" t="str">
        <f>IF(INDEX(EquipmentInfo[KĐ AT],PlanTable[[#This Row],[I]])=0,"",INDEX(EquipmentInfo[KĐ AT],PlanTable[[#This Row],[I]]))</f>
        <v/>
      </c>
      <c r="H80" s="2">
        <f>IF(INDEX(EquipmentInfo[HC],PlanTable[[#This Row],[I]])=0,"",INDEX(EquipmentInfo[HC],PlanTable[[#This Row],[I]]))</f>
        <v>6</v>
      </c>
      <c r="I80" s="2" t="str">
        <f>IF(INDEX(EquipmentInfo[BT],PlanTable[[#This Row],[I]])=0,"",INDEX(EquipmentInfo[BT],PlanTable[[#This Row],[I]]))</f>
        <v/>
      </c>
      <c r="J80" s="2" t="str">
        <f>IF(INDEX(EquipmentInfo[PQ],PlanTable[[#This Row],[I]])=0,"",INDEX(EquipmentInfo[PQ],PlanTable[[#This Row],[I]]))</f>
        <v/>
      </c>
      <c r="K80" s="2"/>
      <c r="L80" s="2"/>
      <c r="M80" s="2"/>
      <c r="N80" s="2"/>
      <c r="O80" s="2" t="s">
        <v>15</v>
      </c>
      <c r="P80" s="2"/>
      <c r="Q80" s="2"/>
      <c r="R80" s="2"/>
      <c r="S80" s="2"/>
      <c r="T80" s="2"/>
      <c r="U80" s="2" t="s">
        <v>15</v>
      </c>
      <c r="V80" s="2"/>
      <c r="W80" s="2" t="str">
        <f>IF(INDEX(EquipmentInfo[Thuê CQ],PlanTable[[#This Row],[I]])=0,"",INDEX(EquipmentInfo[Thuê CQ],PlanTable[[#This Row],[I]]))</f>
        <v>x</v>
      </c>
      <c r="X80" s="2" t="str">
        <f>INDEX(EquipmentInfo[Người phụ trách],PlanTable[[#This Row],[I]])</f>
        <v>Vân</v>
      </c>
      <c r="Y80" s="2"/>
      <c r="Z80" s="1"/>
    </row>
    <row r="81" spans="1:26" ht="30" x14ac:dyDescent="0.25">
      <c r="A81" s="2">
        <v>76</v>
      </c>
      <c r="B81" s="2">
        <f>MATCH(PlanTable[[#This Row],[Mã thiết bị]],EquipmentInfo[Mã thiết bị],0)</f>
        <v>81</v>
      </c>
      <c r="C81" s="22" t="str">
        <f>INDEX(EquipmentInfo[Tên thiết bị],MATCH(PlanTable[[#This Row],[Mã thiết bị]],EquipmentInfo[Mã thiết bị],0))</f>
        <v>Máy HPLC Hitachi Chromaster</v>
      </c>
      <c r="D81" s="2" t="s">
        <v>126</v>
      </c>
      <c r="E81" s="2" t="str">
        <f>IF(INDEX(EquipmentInfo[KĐ cân],PlanTable[[#This Row],[I]])=0,"",INDEX(EquipmentInfo[KĐ cân],PlanTable[[#This Row],[I]]))</f>
        <v/>
      </c>
      <c r="F81" s="2" t="str">
        <f>IF(INDEX(EquipmentInfo[KĐ áp kế],PlanTable[[#This Row],[I]])=0,"",INDEX(EquipmentInfo[KĐ áp kế],PlanTable[[#This Row],[I]]))</f>
        <v/>
      </c>
      <c r="G81" s="2" t="str">
        <f>IF(INDEX(EquipmentInfo[KĐ AT],PlanTable[[#This Row],[I]])=0,"",INDEX(EquipmentInfo[KĐ AT],PlanTable[[#This Row],[I]]))</f>
        <v/>
      </c>
      <c r="H81" s="2">
        <f>IF(INDEX(EquipmentInfo[HC],PlanTable[[#This Row],[I]])=0,"",INDEX(EquipmentInfo[HC],PlanTable[[#This Row],[I]]))</f>
        <v>12</v>
      </c>
      <c r="I81" s="2">
        <f>IF(INDEX(EquipmentInfo[BT],PlanTable[[#This Row],[I]])=0,"",INDEX(EquipmentInfo[BT],PlanTable[[#This Row],[I]]))</f>
        <v>6</v>
      </c>
      <c r="J81" s="2">
        <f>IF(INDEX(EquipmentInfo[PQ],PlanTable[[#This Row],[I]])=0,"",INDEX(EquipmentInfo[PQ],PlanTable[[#This Row],[I]]))</f>
        <v>12</v>
      </c>
      <c r="K81" s="2" t="s">
        <v>16</v>
      </c>
      <c r="L81" s="2"/>
      <c r="M81" s="2"/>
      <c r="N81" s="2"/>
      <c r="O81" s="2"/>
      <c r="P81" s="2"/>
      <c r="Q81" s="2" t="s">
        <v>706</v>
      </c>
      <c r="R81" s="2"/>
      <c r="S81" s="2"/>
      <c r="T81" s="2"/>
      <c r="U81" s="2"/>
      <c r="V81" s="2"/>
      <c r="W81" s="2" t="str">
        <f>IF(INDEX(EquipmentInfo[Thuê CQ],PlanTable[[#This Row],[I]])=0,"",INDEX(EquipmentInfo[Thuê CQ],PlanTable[[#This Row],[I]]))</f>
        <v>x</v>
      </c>
      <c r="X81" s="2" t="str">
        <f>INDEX(EquipmentInfo[Người phụ trách],PlanTable[[#This Row],[I]])</f>
        <v>Tuấn</v>
      </c>
      <c r="Y81" s="2"/>
      <c r="Z81" s="1"/>
    </row>
    <row r="82" spans="1:26" x14ac:dyDescent="0.25">
      <c r="A82" s="2">
        <v>77</v>
      </c>
      <c r="B82" s="2">
        <f>MATCH(PlanTable[[#This Row],[Mã thiết bị]],EquipmentInfo[Mã thiết bị],0)</f>
        <v>82</v>
      </c>
      <c r="C82" s="22" t="str">
        <f>INDEX(EquipmentInfo[Tên thiết bị],MATCH(PlanTable[[#This Row],[Mã thiết bị]],EquipmentInfo[Mã thiết bị],0))</f>
        <v>Máy chuẩn độ điện thế Metrohm 848</v>
      </c>
      <c r="D82" s="2" t="s">
        <v>127</v>
      </c>
      <c r="E82" s="2" t="str">
        <f>IF(INDEX(EquipmentInfo[KĐ cân],PlanTable[[#This Row],[I]])=0,"",INDEX(EquipmentInfo[KĐ cân],PlanTable[[#This Row],[I]]))</f>
        <v/>
      </c>
      <c r="F82" s="2" t="str">
        <f>IF(INDEX(EquipmentInfo[KĐ áp kế],PlanTable[[#This Row],[I]])=0,"",INDEX(EquipmentInfo[KĐ áp kế],PlanTable[[#This Row],[I]]))</f>
        <v/>
      </c>
      <c r="G82" s="2" t="str">
        <f>IF(INDEX(EquipmentInfo[KĐ AT],PlanTable[[#This Row],[I]])=0,"",INDEX(EquipmentInfo[KĐ AT],PlanTable[[#This Row],[I]]))</f>
        <v/>
      </c>
      <c r="H82" s="2">
        <f>IF(INDEX(EquipmentInfo[HC],PlanTable[[#This Row],[I]])=0,"",INDEX(EquipmentInfo[HC],PlanTable[[#This Row],[I]]))</f>
        <v>12</v>
      </c>
      <c r="I82" s="2" t="str">
        <f>IF(INDEX(EquipmentInfo[BT],PlanTable[[#This Row],[I]])=0,"",INDEX(EquipmentInfo[BT],PlanTable[[#This Row],[I]]))</f>
        <v/>
      </c>
      <c r="J82" s="2" t="str">
        <f>IF(INDEX(EquipmentInfo[PQ],PlanTable[[#This Row],[I]])=0,"",INDEX(EquipmentInfo[PQ],PlanTable[[#This Row],[I]]))</f>
        <v/>
      </c>
      <c r="K82" s="2"/>
      <c r="L82" s="2"/>
      <c r="M82" s="2"/>
      <c r="N82" s="2"/>
      <c r="O82" s="2"/>
      <c r="P82" s="2"/>
      <c r="Q82" s="2"/>
      <c r="R82" s="2"/>
      <c r="S82" s="2"/>
      <c r="T82" s="2" t="s">
        <v>15</v>
      </c>
      <c r="U82" s="2"/>
      <c r="V82" s="2"/>
      <c r="W82" s="2" t="str">
        <f>IF(INDEX(EquipmentInfo[Thuê CQ],PlanTable[[#This Row],[I]])=0,"",INDEX(EquipmentInfo[Thuê CQ],PlanTable[[#This Row],[I]]))</f>
        <v/>
      </c>
      <c r="X82" s="2" t="str">
        <f>INDEX(EquipmentInfo[Người phụ trách],PlanTable[[#This Row],[I]])</f>
        <v>Thanh Hà</v>
      </c>
      <c r="Y82" s="2"/>
      <c r="Z82" s="1"/>
    </row>
    <row r="83" spans="1:26" ht="30" x14ac:dyDescent="0.25">
      <c r="A83" s="2">
        <v>78</v>
      </c>
      <c r="B83" s="2">
        <f>MATCH(PlanTable[[#This Row],[Mã thiết bị]],EquipmentInfo[Mã thiết bị],0)</f>
        <v>83</v>
      </c>
      <c r="C83" s="22" t="str">
        <f>INDEX(EquipmentInfo[Tên thiết bị],MATCH(PlanTable[[#This Row],[Mã thiết bị]],EquipmentInfo[Mã thiết bị],0))</f>
        <v>Máy HPLC Agilent 1260 Infinity II</v>
      </c>
      <c r="D83" s="2" t="s">
        <v>128</v>
      </c>
      <c r="E83" s="2" t="str">
        <f>IF(INDEX(EquipmentInfo[KĐ cân],PlanTable[[#This Row],[I]])=0,"",INDEX(EquipmentInfo[KĐ cân],PlanTable[[#This Row],[I]]))</f>
        <v/>
      </c>
      <c r="F83" s="2" t="str">
        <f>IF(INDEX(EquipmentInfo[KĐ áp kế],PlanTable[[#This Row],[I]])=0,"",INDEX(EquipmentInfo[KĐ áp kế],PlanTable[[#This Row],[I]]))</f>
        <v/>
      </c>
      <c r="G83" s="2" t="str">
        <f>IF(INDEX(EquipmentInfo[KĐ AT],PlanTable[[#This Row],[I]])=0,"",INDEX(EquipmentInfo[KĐ AT],PlanTable[[#This Row],[I]]))</f>
        <v/>
      </c>
      <c r="H83" s="2">
        <f>IF(INDEX(EquipmentInfo[HC],PlanTable[[#This Row],[I]])=0,"",INDEX(EquipmentInfo[HC],PlanTable[[#This Row],[I]]))</f>
        <v>12</v>
      </c>
      <c r="I83" s="2">
        <f>IF(INDEX(EquipmentInfo[BT],PlanTable[[#This Row],[I]])=0,"",INDEX(EquipmentInfo[BT],PlanTable[[#This Row],[I]]))</f>
        <v>6</v>
      </c>
      <c r="J83" s="2">
        <f>IF(INDEX(EquipmentInfo[PQ],PlanTable[[#This Row],[I]])=0,"",INDEX(EquipmentInfo[PQ],PlanTable[[#This Row],[I]]))</f>
        <v>12</v>
      </c>
      <c r="K83" s="2" t="s">
        <v>16</v>
      </c>
      <c r="L83" s="2"/>
      <c r="M83" s="2"/>
      <c r="N83" s="2"/>
      <c r="O83" s="2"/>
      <c r="P83" s="2"/>
      <c r="Q83" s="2" t="s">
        <v>706</v>
      </c>
      <c r="R83" s="2"/>
      <c r="S83" s="2"/>
      <c r="T83" s="2"/>
      <c r="U83" s="2"/>
      <c r="V83" s="2"/>
      <c r="W83" s="2" t="str">
        <f>IF(INDEX(EquipmentInfo[Thuê CQ],PlanTable[[#This Row],[I]])=0,"",INDEX(EquipmentInfo[Thuê CQ],PlanTable[[#This Row],[I]]))</f>
        <v/>
      </c>
      <c r="X83" s="2" t="str">
        <f>INDEX(EquipmentInfo[Người phụ trách],PlanTable[[#This Row],[I]])</f>
        <v>Tuấn</v>
      </c>
      <c r="Y83" s="2"/>
      <c r="Z83" s="1"/>
    </row>
    <row r="84" spans="1:26" ht="45" x14ac:dyDescent="0.25">
      <c r="A84" s="2">
        <v>79</v>
      </c>
      <c r="B84" s="2">
        <f>MATCH(PlanTable[[#This Row],[Mã thiết bị]],EquipmentInfo[Mã thiết bị],0)</f>
        <v>84</v>
      </c>
      <c r="C84" s="22" t="str">
        <f>INDEX(EquipmentInfo[Tên thiết bị],MATCH(PlanTable[[#This Row],[Mã thiết bị]],EquipmentInfo[Mã thiết bị],0))</f>
        <v>Nồi hấp Hirayama HV-110</v>
      </c>
      <c r="D84" s="2" t="s">
        <v>129</v>
      </c>
      <c r="E84" s="2" t="str">
        <f>IF(INDEX(EquipmentInfo[KĐ cân],PlanTable[[#This Row],[I]])=0,"",INDEX(EquipmentInfo[KĐ cân],PlanTable[[#This Row],[I]]))</f>
        <v/>
      </c>
      <c r="F84" s="2">
        <f>IF(INDEX(EquipmentInfo[KĐ áp kế],PlanTable[[#This Row],[I]])=0,"",INDEX(EquipmentInfo[KĐ áp kế],PlanTable[[#This Row],[I]]))</f>
        <v>12</v>
      </c>
      <c r="G84" s="2">
        <f>IF(INDEX(EquipmentInfo[KĐ AT],PlanTable[[#This Row],[I]])=0,"",INDEX(EquipmentInfo[KĐ AT],PlanTable[[#This Row],[I]]))</f>
        <v>24</v>
      </c>
      <c r="H84" s="2" t="str">
        <f>IF(INDEX(EquipmentInfo[HC],PlanTable[[#This Row],[I]])=0,"",INDEX(EquipmentInfo[HC],PlanTable[[#This Row],[I]]))</f>
        <v/>
      </c>
      <c r="I84" s="2" t="str">
        <f>IF(INDEX(EquipmentInfo[BT],PlanTable[[#This Row],[I]])=0,"",INDEX(EquipmentInfo[BT],PlanTable[[#This Row],[I]]))</f>
        <v/>
      </c>
      <c r="J84" s="2">
        <f>IF(INDEX(EquipmentInfo[PQ],PlanTable[[#This Row],[I]])=0,"",INDEX(EquipmentInfo[PQ],PlanTable[[#This Row],[I]]))</f>
        <v>12</v>
      </c>
      <c r="K84" s="2"/>
      <c r="L84" s="2"/>
      <c r="M84" s="2"/>
      <c r="N84" s="2" t="s">
        <v>27</v>
      </c>
      <c r="O84" s="2"/>
      <c r="P84" s="2"/>
      <c r="Q84" s="2"/>
      <c r="R84" s="2"/>
      <c r="S84" s="2"/>
      <c r="T84" s="2"/>
      <c r="U84" s="2"/>
      <c r="V84" s="2" t="s">
        <v>28</v>
      </c>
      <c r="W84" s="2" t="str">
        <f>IF(INDEX(EquipmentInfo[Thuê CQ],PlanTable[[#This Row],[I]])=0,"",INDEX(EquipmentInfo[Thuê CQ],PlanTable[[#This Row],[I]]))</f>
        <v/>
      </c>
      <c r="X84" s="2" t="str">
        <f>INDEX(EquipmentInfo[Người phụ trách],PlanTable[[#This Row],[I]])</f>
        <v>Vân</v>
      </c>
      <c r="Y84" s="2"/>
      <c r="Z84" s="1"/>
    </row>
    <row r="85" spans="1:26" x14ac:dyDescent="0.25">
      <c r="A85" s="2">
        <v>80</v>
      </c>
      <c r="B85" s="2">
        <f>MATCH(PlanTable[[#This Row],[Mã thiết bị]],EquipmentInfo[Mã thiết bị],0)</f>
        <v>85</v>
      </c>
      <c r="C85" s="22" t="str">
        <f>INDEX(EquipmentInfo[Tên thiết bị],MATCH(PlanTable[[#This Row],[Mã thiết bị]],EquipmentInfo[Mã thiết bị],0))</f>
        <v>Máy phá mẫu vi sóng MiniWAVE</v>
      </c>
      <c r="D85" s="2" t="s">
        <v>130</v>
      </c>
      <c r="E85" s="2" t="str">
        <f>IF(INDEX(EquipmentInfo[KĐ cân],PlanTable[[#This Row],[I]])=0,"",INDEX(EquipmentInfo[KĐ cân],PlanTable[[#This Row],[I]]))</f>
        <v/>
      </c>
      <c r="F85" s="2" t="str">
        <f>IF(INDEX(EquipmentInfo[KĐ áp kế],PlanTable[[#This Row],[I]])=0,"",INDEX(EquipmentInfo[KĐ áp kế],PlanTable[[#This Row],[I]]))</f>
        <v/>
      </c>
      <c r="G85" s="2" t="str">
        <f>IF(INDEX(EquipmentInfo[KĐ AT],PlanTable[[#This Row],[I]])=0,"",INDEX(EquipmentInfo[KĐ AT],PlanTable[[#This Row],[I]]))</f>
        <v/>
      </c>
      <c r="H85" s="2" t="str">
        <f>IF(INDEX(EquipmentInfo[HC],PlanTable[[#This Row],[I]])=0,"",INDEX(EquipmentInfo[HC],PlanTable[[#This Row],[I]]))</f>
        <v/>
      </c>
      <c r="I85" s="2">
        <f>IF(INDEX(EquipmentInfo[BT],PlanTable[[#This Row],[I]])=0,"",INDEX(EquipmentInfo[BT],PlanTable[[#This Row],[I]]))</f>
        <v>12</v>
      </c>
      <c r="J85" s="2" t="str">
        <f>IF(INDEX(EquipmentInfo[PQ],PlanTable[[#This Row],[I]])=0,"",INDEX(EquipmentInfo[PQ],PlanTable[[#This Row],[I]]))</f>
        <v/>
      </c>
      <c r="K85" s="2"/>
      <c r="L85" s="2"/>
      <c r="M85" s="2"/>
      <c r="N85" s="2"/>
      <c r="O85" s="2"/>
      <c r="P85" s="2"/>
      <c r="Q85" s="2"/>
      <c r="R85" s="2"/>
      <c r="S85" s="2"/>
      <c r="T85" s="2" t="s">
        <v>16</v>
      </c>
      <c r="U85" s="2"/>
      <c r="V85" s="2"/>
      <c r="W85" s="2" t="str">
        <f>IF(INDEX(EquipmentInfo[Thuê CQ],PlanTable[[#This Row],[I]])=0,"",INDEX(EquipmentInfo[Thuê CQ],PlanTable[[#This Row],[I]]))</f>
        <v/>
      </c>
      <c r="X85" s="2" t="str">
        <f>INDEX(EquipmentInfo[Người phụ trách],PlanTable[[#This Row],[I]])</f>
        <v>Tuấn</v>
      </c>
      <c r="Y85" s="2"/>
      <c r="Z85" s="1"/>
    </row>
    <row r="86" spans="1:26" x14ac:dyDescent="0.25">
      <c r="A86" s="2">
        <v>81</v>
      </c>
      <c r="B86" s="2">
        <f>MATCH(PlanTable[[#This Row],[Mã thiết bị]],EquipmentInfo[Mã thiết bị],0)</f>
        <v>86</v>
      </c>
      <c r="C86" s="22" t="str">
        <f>INDEX(EquipmentInfo[Tên thiết bị],MATCH(PlanTable[[#This Row],[Mã thiết bị]],EquipmentInfo[Mã thiết bị],0))</f>
        <v>Máy lắc siêu âm Elma S</v>
      </c>
      <c r="D86" s="2" t="s">
        <v>131</v>
      </c>
      <c r="E86" s="2" t="str">
        <f>IF(INDEX(EquipmentInfo[KĐ cân],PlanTable[[#This Row],[I]])=0,"",INDEX(EquipmentInfo[KĐ cân],PlanTable[[#This Row],[I]]))</f>
        <v/>
      </c>
      <c r="F86" s="2" t="str">
        <f>IF(INDEX(EquipmentInfo[KĐ áp kế],PlanTable[[#This Row],[I]])=0,"",INDEX(EquipmentInfo[KĐ áp kế],PlanTable[[#This Row],[I]]))</f>
        <v/>
      </c>
      <c r="G86" s="2" t="str">
        <f>IF(INDEX(EquipmentInfo[KĐ AT],PlanTable[[#This Row],[I]])=0,"",INDEX(EquipmentInfo[KĐ AT],PlanTable[[#This Row],[I]]))</f>
        <v/>
      </c>
      <c r="H86" s="2" t="str">
        <f>IF(INDEX(EquipmentInfo[HC],PlanTable[[#This Row],[I]])=0,"",INDEX(EquipmentInfo[HC],PlanTable[[#This Row],[I]]))</f>
        <v/>
      </c>
      <c r="I86" s="2">
        <f>IF(INDEX(EquipmentInfo[BT],PlanTable[[#This Row],[I]])=0,"",INDEX(EquipmentInfo[BT],PlanTable[[#This Row],[I]]))</f>
        <v>12</v>
      </c>
      <c r="J86" s="2" t="str">
        <f>IF(INDEX(EquipmentInfo[PQ],PlanTable[[#This Row],[I]])=0,"",INDEX(EquipmentInfo[PQ],PlanTable[[#This Row],[I]]))</f>
        <v/>
      </c>
      <c r="K86" s="2"/>
      <c r="L86" s="2"/>
      <c r="M86" s="2"/>
      <c r="N86" s="2"/>
      <c r="O86" s="2"/>
      <c r="P86" s="2" t="s">
        <v>16</v>
      </c>
      <c r="Q86" s="2"/>
      <c r="R86" s="2"/>
      <c r="S86" s="2"/>
      <c r="T86" s="2"/>
      <c r="U86" s="2"/>
      <c r="V86" s="2"/>
      <c r="W86" s="2" t="str">
        <f>IF(INDEX(EquipmentInfo[Thuê CQ],PlanTable[[#This Row],[I]])=0,"",INDEX(EquipmentInfo[Thuê CQ],PlanTable[[#This Row],[I]]))</f>
        <v/>
      </c>
      <c r="X86" s="2" t="str">
        <f>INDEX(EquipmentInfo[Người phụ trách],PlanTable[[#This Row],[I]])</f>
        <v>Thắm</v>
      </c>
      <c r="Y86" s="2"/>
      <c r="Z86" s="1"/>
    </row>
    <row r="87" spans="1:26" x14ac:dyDescent="0.25">
      <c r="A87" s="2">
        <v>82</v>
      </c>
      <c r="B87" s="2">
        <f>MATCH(PlanTable[[#This Row],[Mã thiết bị]],EquipmentInfo[Mã thiết bị],0)</f>
        <v>87</v>
      </c>
      <c r="C87" s="22" t="str">
        <f>INDEX(EquipmentInfo[Tên thiết bị],MATCH(PlanTable[[#This Row],[Mã thiết bị]],EquipmentInfo[Mã thiết bị],0))</f>
        <v>Máy lắc siêu âm Elma P</v>
      </c>
      <c r="D87" s="2" t="s">
        <v>132</v>
      </c>
      <c r="E87" s="2" t="str">
        <f>IF(INDEX(EquipmentInfo[KĐ cân],PlanTable[[#This Row],[I]])=0,"",INDEX(EquipmentInfo[KĐ cân],PlanTable[[#This Row],[I]]))</f>
        <v/>
      </c>
      <c r="F87" s="2" t="str">
        <f>IF(INDEX(EquipmentInfo[KĐ áp kế],PlanTable[[#This Row],[I]])=0,"",INDEX(EquipmentInfo[KĐ áp kế],PlanTable[[#This Row],[I]]))</f>
        <v/>
      </c>
      <c r="G87" s="2" t="str">
        <f>IF(INDEX(EquipmentInfo[KĐ AT],PlanTable[[#This Row],[I]])=0,"",INDEX(EquipmentInfo[KĐ AT],PlanTable[[#This Row],[I]]))</f>
        <v/>
      </c>
      <c r="H87" s="2" t="str">
        <f>IF(INDEX(EquipmentInfo[HC],PlanTable[[#This Row],[I]])=0,"",INDEX(EquipmentInfo[HC],PlanTable[[#This Row],[I]]))</f>
        <v/>
      </c>
      <c r="I87" s="2">
        <f>IF(INDEX(EquipmentInfo[BT],PlanTable[[#This Row],[I]])=0,"",INDEX(EquipmentInfo[BT],PlanTable[[#This Row],[I]]))</f>
        <v>12</v>
      </c>
      <c r="J87" s="2" t="str">
        <f>IF(INDEX(EquipmentInfo[PQ],PlanTable[[#This Row],[I]])=0,"",INDEX(EquipmentInfo[PQ],PlanTable[[#This Row],[I]]))</f>
        <v/>
      </c>
      <c r="K87" s="2"/>
      <c r="L87" s="2"/>
      <c r="M87" s="2"/>
      <c r="N87" s="2"/>
      <c r="O87" s="2"/>
      <c r="P87" s="2" t="s">
        <v>16</v>
      </c>
      <c r="Q87" s="2"/>
      <c r="R87" s="2"/>
      <c r="S87" s="2"/>
      <c r="T87" s="2"/>
      <c r="U87" s="2"/>
      <c r="V87" s="2"/>
      <c r="W87" s="2" t="str">
        <f>IF(INDEX(EquipmentInfo[Thuê CQ],PlanTable[[#This Row],[I]])=0,"",INDEX(EquipmentInfo[Thuê CQ],PlanTable[[#This Row],[I]]))</f>
        <v/>
      </c>
      <c r="X87" s="2" t="str">
        <f>INDEX(EquipmentInfo[Người phụ trách],PlanTable[[#This Row],[I]])</f>
        <v>Thắm</v>
      </c>
      <c r="Y87" s="2"/>
      <c r="Z87" s="1"/>
    </row>
    <row r="88" spans="1:26" x14ac:dyDescent="0.25">
      <c r="A88" s="2">
        <v>83</v>
      </c>
      <c r="B88" s="2">
        <f>MATCH(PlanTable[[#This Row],[Mã thiết bị]],EquipmentInfo[Mã thiết bị],0)</f>
        <v>88</v>
      </c>
      <c r="C88" s="22" t="str">
        <f>INDEX(EquipmentInfo[Tên thiết bị],MATCH(PlanTable[[#This Row],[Mã thiết bị]],EquipmentInfo[Mã thiết bị],0))</f>
        <v>Máy lắc siêu âm GT Sonic D9</v>
      </c>
      <c r="D88" s="2" t="s">
        <v>134</v>
      </c>
      <c r="E88" s="2" t="str">
        <f>IF(INDEX(EquipmentInfo[KĐ cân],PlanTable[[#This Row],[I]])=0,"",INDEX(EquipmentInfo[KĐ cân],PlanTable[[#This Row],[I]]))</f>
        <v/>
      </c>
      <c r="F88" s="2" t="str">
        <f>IF(INDEX(EquipmentInfo[KĐ áp kế],PlanTable[[#This Row],[I]])=0,"",INDEX(EquipmentInfo[KĐ áp kế],PlanTable[[#This Row],[I]]))</f>
        <v/>
      </c>
      <c r="G88" s="2" t="str">
        <f>IF(INDEX(EquipmentInfo[KĐ AT],PlanTable[[#This Row],[I]])=0,"",INDEX(EquipmentInfo[KĐ AT],PlanTable[[#This Row],[I]]))</f>
        <v/>
      </c>
      <c r="H88" s="2" t="str">
        <f>IF(INDEX(EquipmentInfo[HC],PlanTable[[#This Row],[I]])=0,"",INDEX(EquipmentInfo[HC],PlanTable[[#This Row],[I]]))</f>
        <v/>
      </c>
      <c r="I88" s="2">
        <f>IF(INDEX(EquipmentInfo[BT],PlanTable[[#This Row],[I]])=0,"",INDEX(EquipmentInfo[BT],PlanTable[[#This Row],[I]]))</f>
        <v>12</v>
      </c>
      <c r="J88" s="2" t="str">
        <f>IF(INDEX(EquipmentInfo[PQ],PlanTable[[#This Row],[I]])=0,"",INDEX(EquipmentInfo[PQ],PlanTable[[#This Row],[I]]))</f>
        <v/>
      </c>
      <c r="K88" s="2"/>
      <c r="L88" s="2"/>
      <c r="M88" s="2"/>
      <c r="N88" s="2"/>
      <c r="O88" s="2"/>
      <c r="P88" s="2"/>
      <c r="Q88" s="2"/>
      <c r="R88" s="2"/>
      <c r="S88" s="2" t="s">
        <v>16</v>
      </c>
      <c r="T88" s="2"/>
      <c r="U88" s="2"/>
      <c r="V88" s="2"/>
      <c r="W88" s="2" t="str">
        <f>IF(INDEX(EquipmentInfo[Thuê CQ],PlanTable[[#This Row],[I]])=0,"",INDEX(EquipmentInfo[Thuê CQ],PlanTable[[#This Row],[I]]))</f>
        <v/>
      </c>
      <c r="X88" s="2" t="str">
        <f>INDEX(EquipmentInfo[Người phụ trách],PlanTable[[#This Row],[I]])</f>
        <v>Thắm</v>
      </c>
      <c r="Y88" s="2"/>
      <c r="Z88" s="1"/>
    </row>
    <row r="89" spans="1:26" x14ac:dyDescent="0.25">
      <c r="A89" s="2">
        <v>84</v>
      </c>
      <c r="B89" s="2">
        <f>MATCH(PlanTable[[#This Row],[Mã thiết bị]],EquipmentInfo[Mã thiết bị],0)</f>
        <v>89</v>
      </c>
      <c r="C89" s="22" t="str">
        <f>INDEX(EquipmentInfo[Tên thiết bị],MATCH(PlanTable[[#This Row],[Mã thiết bị]],EquipmentInfo[Mã thiết bị],0))</f>
        <v>Máy tạo viên đo hồng ngoại Pike</v>
      </c>
      <c r="D89" s="2" t="s">
        <v>135</v>
      </c>
      <c r="E89" s="2" t="str">
        <f>IF(INDEX(EquipmentInfo[KĐ cân],PlanTable[[#This Row],[I]])=0,"",INDEX(EquipmentInfo[KĐ cân],PlanTable[[#This Row],[I]]))</f>
        <v/>
      </c>
      <c r="F89" s="2" t="str">
        <f>IF(INDEX(EquipmentInfo[KĐ áp kế],PlanTable[[#This Row],[I]])=0,"",INDEX(EquipmentInfo[KĐ áp kế],PlanTable[[#This Row],[I]]))</f>
        <v/>
      </c>
      <c r="G89" s="2" t="str">
        <f>IF(INDEX(EquipmentInfo[KĐ AT],PlanTable[[#This Row],[I]])=0,"",INDEX(EquipmentInfo[KĐ AT],PlanTable[[#This Row],[I]]))</f>
        <v/>
      </c>
      <c r="H89" s="2" t="str">
        <f>IF(INDEX(EquipmentInfo[HC],PlanTable[[#This Row],[I]])=0,"",INDEX(EquipmentInfo[HC],PlanTable[[#This Row],[I]]))</f>
        <v/>
      </c>
      <c r="I89" s="2">
        <f>IF(INDEX(EquipmentInfo[BT],PlanTable[[#This Row],[I]])=0,"",INDEX(EquipmentInfo[BT],PlanTable[[#This Row],[I]]))</f>
        <v>12</v>
      </c>
      <c r="J89" s="2" t="str">
        <f>IF(INDEX(EquipmentInfo[PQ],PlanTable[[#This Row],[I]])=0,"",INDEX(EquipmentInfo[PQ],PlanTable[[#This Row],[I]]))</f>
        <v/>
      </c>
      <c r="K89" s="2"/>
      <c r="L89" s="2"/>
      <c r="M89" s="2"/>
      <c r="N89" s="2"/>
      <c r="O89" s="2"/>
      <c r="P89" s="2"/>
      <c r="Q89" s="2"/>
      <c r="R89" s="2"/>
      <c r="S89" s="2"/>
      <c r="T89" s="2" t="s">
        <v>16</v>
      </c>
      <c r="U89" s="2"/>
      <c r="V89" s="2"/>
      <c r="W89" s="2" t="str">
        <f>IF(INDEX(EquipmentInfo[Thuê CQ],PlanTable[[#This Row],[I]])=0,"",INDEX(EquipmentInfo[Thuê CQ],PlanTable[[#This Row],[I]]))</f>
        <v/>
      </c>
      <c r="X89" s="2" t="str">
        <f>INDEX(EquipmentInfo[Người phụ trách],PlanTable[[#This Row],[I]])</f>
        <v>Thắm</v>
      </c>
      <c r="Y89" s="2"/>
      <c r="Z89" s="1"/>
    </row>
    <row r="90" spans="1:26" ht="30" x14ac:dyDescent="0.25">
      <c r="A90" s="2">
        <v>85</v>
      </c>
      <c r="B90" s="2">
        <f>MATCH(PlanTable[[#This Row],[Mã thiết bị]],EquipmentInfo[Mã thiết bị],0)</f>
        <v>90</v>
      </c>
      <c r="C90" s="22" t="str">
        <f>INDEX(EquipmentInfo[Tên thiết bị],MATCH(PlanTable[[#This Row],[Mã thiết bị]],EquipmentInfo[Mã thiết bị],0))</f>
        <v>Phân cực kế Kruss P3000</v>
      </c>
      <c r="D90" s="2" t="s">
        <v>136</v>
      </c>
      <c r="E90" s="2" t="str">
        <f>IF(INDEX(EquipmentInfo[KĐ cân],PlanTable[[#This Row],[I]])=0,"",INDEX(EquipmentInfo[KĐ cân],PlanTable[[#This Row],[I]]))</f>
        <v/>
      </c>
      <c r="F90" s="2" t="str">
        <f>IF(INDEX(EquipmentInfo[KĐ áp kế],PlanTable[[#This Row],[I]])=0,"",INDEX(EquipmentInfo[KĐ áp kế],PlanTable[[#This Row],[I]]))</f>
        <v/>
      </c>
      <c r="G90" s="2" t="str">
        <f>IF(INDEX(EquipmentInfo[KĐ AT],PlanTable[[#This Row],[I]])=0,"",INDEX(EquipmentInfo[KĐ AT],PlanTable[[#This Row],[I]]))</f>
        <v/>
      </c>
      <c r="H90" s="2">
        <f>IF(INDEX(EquipmentInfo[HC],PlanTable[[#This Row],[I]])=0,"",INDEX(EquipmentInfo[HC],PlanTable[[#This Row],[I]]))</f>
        <v>12</v>
      </c>
      <c r="I90" s="2">
        <f>IF(INDEX(EquipmentInfo[BT],PlanTable[[#This Row],[I]])=0,"",INDEX(EquipmentInfo[BT],PlanTable[[#This Row],[I]]))</f>
        <v>12</v>
      </c>
      <c r="J90" s="2" t="str">
        <f>IF(INDEX(EquipmentInfo[PQ],PlanTable[[#This Row],[I]])=0,"",INDEX(EquipmentInfo[PQ],PlanTable[[#This Row],[I]]))</f>
        <v/>
      </c>
      <c r="K90" s="2"/>
      <c r="L90" s="2"/>
      <c r="M90" s="2"/>
      <c r="N90" s="2"/>
      <c r="O90" s="2"/>
      <c r="P90" s="2"/>
      <c r="Q90" s="2"/>
      <c r="R90" s="2" t="s">
        <v>150</v>
      </c>
      <c r="S90" s="2"/>
      <c r="T90" s="2"/>
      <c r="U90" s="2"/>
      <c r="V90" s="2"/>
      <c r="W90" s="2" t="str">
        <f>IF(INDEX(EquipmentInfo[Thuê CQ],PlanTable[[#This Row],[I]])=0,"",INDEX(EquipmentInfo[Thuê CQ],PlanTable[[#This Row],[I]]))</f>
        <v>x</v>
      </c>
      <c r="X90" s="2" t="str">
        <f>INDEX(EquipmentInfo[Người phụ trách],PlanTable[[#This Row],[I]])</f>
        <v>Tuấn</v>
      </c>
      <c r="Y90" s="2"/>
      <c r="Z90" s="1"/>
    </row>
    <row r="91" spans="1:26" x14ac:dyDescent="0.25">
      <c r="A91" s="2">
        <v>86</v>
      </c>
      <c r="B91" s="2">
        <f>MATCH(PlanTable[[#This Row],[Mã thiết bị]],EquipmentInfo[Mã thiết bị],0)</f>
        <v>91</v>
      </c>
      <c r="C91" s="22" t="str">
        <f>INDEX(EquipmentInfo[Tên thiết bị],MATCH(PlanTable[[#This Row],[Mã thiết bị]],EquipmentInfo[Mã thiết bị],0))</f>
        <v>Cân Mettler Toledo XSR205DU</v>
      </c>
      <c r="D91" s="2" t="s">
        <v>137</v>
      </c>
      <c r="E91" s="2">
        <f>IF(INDEX(EquipmentInfo[KĐ cân],PlanTable[[#This Row],[I]])=0,"",INDEX(EquipmentInfo[KĐ cân],PlanTable[[#This Row],[I]]))</f>
        <v>12</v>
      </c>
      <c r="F91" s="2" t="str">
        <f>IF(INDEX(EquipmentInfo[KĐ áp kế],PlanTable[[#This Row],[I]])=0,"",INDEX(EquipmentInfo[KĐ áp kế],PlanTable[[#This Row],[I]]))</f>
        <v/>
      </c>
      <c r="G91" s="2" t="str">
        <f>IF(INDEX(EquipmentInfo[KĐ AT],PlanTable[[#This Row],[I]])=0,"",INDEX(EquipmentInfo[KĐ AT],PlanTable[[#This Row],[I]]))</f>
        <v/>
      </c>
      <c r="H91" s="2">
        <f>IF(INDEX(EquipmentInfo[HC],PlanTable[[#This Row],[I]])=0,"",INDEX(EquipmentInfo[HC],PlanTable[[#This Row],[I]]))</f>
        <v>12</v>
      </c>
      <c r="I91" s="2">
        <f>IF(INDEX(EquipmentInfo[BT],PlanTable[[#This Row],[I]])=0,"",INDEX(EquipmentInfo[BT],PlanTable[[#This Row],[I]]))</f>
        <v>3</v>
      </c>
      <c r="J91" s="2" t="str">
        <f>IF(INDEX(EquipmentInfo[PQ],PlanTable[[#This Row],[I]])=0,"",INDEX(EquipmentInfo[PQ],PlanTable[[#This Row],[I]]))</f>
        <v/>
      </c>
      <c r="K91" s="2" t="s">
        <v>16</v>
      </c>
      <c r="L91" s="2"/>
      <c r="M91" s="2" t="s">
        <v>17</v>
      </c>
      <c r="N91" s="2" t="s">
        <v>16</v>
      </c>
      <c r="O91" s="2"/>
      <c r="P91" s="2"/>
      <c r="Q91" s="2" t="s">
        <v>15</v>
      </c>
      <c r="R91" s="2"/>
      <c r="S91" s="2"/>
      <c r="T91" s="2" t="s">
        <v>16</v>
      </c>
      <c r="U91" s="2"/>
      <c r="V91" s="2"/>
      <c r="W91" s="2" t="str">
        <f>IF(INDEX(EquipmentInfo[Thuê CQ],PlanTable[[#This Row],[I]])=0,"",INDEX(EquipmentInfo[Thuê CQ],PlanTable[[#This Row],[I]]))</f>
        <v/>
      </c>
      <c r="X91" s="2" t="str">
        <f>INDEX(EquipmentInfo[Người phụ trách],PlanTable[[#This Row],[I]])</f>
        <v>Na</v>
      </c>
      <c r="Y91" s="2"/>
      <c r="Z91" s="1"/>
    </row>
    <row r="92" spans="1:26" x14ac:dyDescent="0.25">
      <c r="A92" s="2">
        <v>87</v>
      </c>
      <c r="B92" s="2">
        <f>MATCH(PlanTable[[#This Row],[Mã thiết bị]],EquipmentInfo[Mã thiết bị],0)</f>
        <v>92</v>
      </c>
      <c r="C92" s="22" t="str">
        <f>INDEX(EquipmentInfo[Tên thiết bị],MATCH(PlanTable[[#This Row],[Mã thiết bị]],EquipmentInfo[Mã thiết bị],0))</f>
        <v>Cân Mettler Toledo XSR204</v>
      </c>
      <c r="D92" s="2" t="s">
        <v>139</v>
      </c>
      <c r="E92" s="2">
        <f>IF(INDEX(EquipmentInfo[KĐ cân],PlanTable[[#This Row],[I]])=0,"",INDEX(EquipmentInfo[KĐ cân],PlanTable[[#This Row],[I]]))</f>
        <v>12</v>
      </c>
      <c r="F92" s="2" t="str">
        <f>IF(INDEX(EquipmentInfo[KĐ áp kế],PlanTable[[#This Row],[I]])=0,"",INDEX(EquipmentInfo[KĐ áp kế],PlanTable[[#This Row],[I]]))</f>
        <v/>
      </c>
      <c r="G92" s="2" t="str">
        <f>IF(INDEX(EquipmentInfo[KĐ AT],PlanTable[[#This Row],[I]])=0,"",INDEX(EquipmentInfo[KĐ AT],PlanTable[[#This Row],[I]]))</f>
        <v/>
      </c>
      <c r="H92" s="2">
        <f>IF(INDEX(EquipmentInfo[HC],PlanTable[[#This Row],[I]])=0,"",INDEX(EquipmentInfo[HC],PlanTable[[#This Row],[I]]))</f>
        <v>12</v>
      </c>
      <c r="I92" s="2">
        <f>IF(INDEX(EquipmentInfo[BT],PlanTable[[#This Row],[I]])=0,"",INDEX(EquipmentInfo[BT],PlanTable[[#This Row],[I]]))</f>
        <v>3</v>
      </c>
      <c r="J92" s="2" t="str">
        <f>IF(INDEX(EquipmentInfo[PQ],PlanTable[[#This Row],[I]])=0,"",INDEX(EquipmentInfo[PQ],PlanTable[[#This Row],[I]]))</f>
        <v/>
      </c>
      <c r="K92" s="2" t="s">
        <v>16</v>
      </c>
      <c r="L92" s="2"/>
      <c r="M92" s="2" t="s">
        <v>17</v>
      </c>
      <c r="N92" s="2" t="s">
        <v>16</v>
      </c>
      <c r="O92" s="2"/>
      <c r="P92" s="2"/>
      <c r="Q92" s="2" t="s">
        <v>15</v>
      </c>
      <c r="R92" s="2"/>
      <c r="S92" s="2"/>
      <c r="T92" s="2" t="s">
        <v>16</v>
      </c>
      <c r="U92" s="2"/>
      <c r="V92" s="2"/>
      <c r="W92" s="2" t="str">
        <f>IF(INDEX(EquipmentInfo[Thuê CQ],PlanTable[[#This Row],[I]])=0,"",INDEX(EquipmentInfo[Thuê CQ],PlanTable[[#This Row],[I]]))</f>
        <v/>
      </c>
      <c r="X92" s="2" t="str">
        <f>INDEX(EquipmentInfo[Người phụ trách],PlanTable[[#This Row],[I]])</f>
        <v>Na</v>
      </c>
      <c r="Y92" s="2"/>
      <c r="Z92" s="1"/>
    </row>
    <row r="93" spans="1:26" x14ac:dyDescent="0.25">
      <c r="A93" s="2">
        <v>88</v>
      </c>
      <c r="B93" s="2">
        <f>MATCH(PlanTable[[#This Row],[Mã thiết bị]],EquipmentInfo[Mã thiết bị],0)</f>
        <v>93</v>
      </c>
      <c r="C93" s="22" t="str">
        <f>INDEX(EquipmentInfo[Tên thiết bị],MATCH(PlanTable[[#This Row],[Mã thiết bị]],EquipmentInfo[Mã thiết bị],0))</f>
        <v>Cân Mettler Toledo XSR303S</v>
      </c>
      <c r="D93" s="2" t="s">
        <v>138</v>
      </c>
      <c r="E93" s="2">
        <f>IF(INDEX(EquipmentInfo[KĐ cân],PlanTable[[#This Row],[I]])=0,"",INDEX(EquipmentInfo[KĐ cân],PlanTable[[#This Row],[I]]))</f>
        <v>12</v>
      </c>
      <c r="F93" s="2" t="str">
        <f>IF(INDEX(EquipmentInfo[KĐ áp kế],PlanTable[[#This Row],[I]])=0,"",INDEX(EquipmentInfo[KĐ áp kế],PlanTable[[#This Row],[I]]))</f>
        <v/>
      </c>
      <c r="G93" s="2" t="str">
        <f>IF(INDEX(EquipmentInfo[KĐ AT],PlanTable[[#This Row],[I]])=0,"",INDEX(EquipmentInfo[KĐ AT],PlanTable[[#This Row],[I]]))</f>
        <v/>
      </c>
      <c r="H93" s="2">
        <f>IF(INDEX(EquipmentInfo[HC],PlanTable[[#This Row],[I]])=0,"",INDEX(EquipmentInfo[HC],PlanTable[[#This Row],[I]]))</f>
        <v>12</v>
      </c>
      <c r="I93" s="2">
        <f>IF(INDEX(EquipmentInfo[BT],PlanTable[[#This Row],[I]])=0,"",INDEX(EquipmentInfo[BT],PlanTable[[#This Row],[I]]))</f>
        <v>3</v>
      </c>
      <c r="J93" s="2" t="str">
        <f>IF(INDEX(EquipmentInfo[PQ],PlanTable[[#This Row],[I]])=0,"",INDEX(EquipmentInfo[PQ],PlanTable[[#This Row],[I]]))</f>
        <v/>
      </c>
      <c r="K93" s="2" t="s">
        <v>16</v>
      </c>
      <c r="L93" s="2"/>
      <c r="M93" s="2" t="s">
        <v>17</v>
      </c>
      <c r="N93" s="2" t="s">
        <v>16</v>
      </c>
      <c r="O93" s="2"/>
      <c r="P93" s="2"/>
      <c r="Q93" s="2" t="s">
        <v>15</v>
      </c>
      <c r="R93" s="2"/>
      <c r="S93" s="2"/>
      <c r="T93" s="2" t="s">
        <v>16</v>
      </c>
      <c r="U93" s="2"/>
      <c r="V93" s="2"/>
      <c r="W93" s="2" t="str">
        <f>IF(INDEX(EquipmentInfo[Thuê CQ],PlanTable[[#This Row],[I]])=0,"",INDEX(EquipmentInfo[Thuê CQ],PlanTable[[#This Row],[I]]))</f>
        <v/>
      </c>
      <c r="X93" s="2" t="str">
        <f>INDEX(EquipmentInfo[Người phụ trách],PlanTable[[#This Row],[I]])</f>
        <v>Na</v>
      </c>
      <c r="Y93" s="2"/>
      <c r="Z93" s="1"/>
    </row>
    <row r="94" spans="1:26" ht="30" x14ac:dyDescent="0.25">
      <c r="A94" s="2">
        <v>89</v>
      </c>
      <c r="B94" s="2">
        <f>MATCH(PlanTable[[#This Row],[Mã thiết bị]],EquipmentInfo[Mã thiết bị],0)</f>
        <v>94</v>
      </c>
      <c r="C94" s="22" t="str">
        <f>INDEX(EquipmentInfo[Tên thiết bị],MATCH(PlanTable[[#This Row],[Mã thiết bị]],EquipmentInfo[Mã thiết bị],0))</f>
        <v>Máy pH/độ dẫn Mettler Toledo S470</v>
      </c>
      <c r="D94" s="2" t="s">
        <v>140</v>
      </c>
      <c r="E94" s="2" t="str">
        <f>IF(INDEX(EquipmentInfo[KĐ cân],PlanTable[[#This Row],[I]])=0,"",INDEX(EquipmentInfo[KĐ cân],PlanTable[[#This Row],[I]]))</f>
        <v/>
      </c>
      <c r="F94" s="2" t="str">
        <f>IF(INDEX(EquipmentInfo[KĐ áp kế],PlanTable[[#This Row],[I]])=0,"",INDEX(EquipmentInfo[KĐ áp kế],PlanTable[[#This Row],[I]]))</f>
        <v/>
      </c>
      <c r="G94" s="2" t="str">
        <f>IF(INDEX(EquipmentInfo[KĐ AT],PlanTable[[#This Row],[I]])=0,"",INDEX(EquipmentInfo[KĐ AT],PlanTable[[#This Row],[I]]))</f>
        <v/>
      </c>
      <c r="H94" s="2">
        <f>IF(INDEX(EquipmentInfo[HC],PlanTable[[#This Row],[I]])=0,"",INDEX(EquipmentInfo[HC],PlanTable[[#This Row],[I]]))</f>
        <v>12</v>
      </c>
      <c r="I94" s="2">
        <f>IF(INDEX(EquipmentInfo[BT],PlanTable[[#This Row],[I]])=0,"",INDEX(EquipmentInfo[BT],PlanTable[[#This Row],[I]]))</f>
        <v>6</v>
      </c>
      <c r="J94" s="2" t="str">
        <f>IF(INDEX(EquipmentInfo[PQ],PlanTable[[#This Row],[I]])=0,"",INDEX(EquipmentInfo[PQ],PlanTable[[#This Row],[I]]))</f>
        <v/>
      </c>
      <c r="K94" s="2"/>
      <c r="L94" s="2" t="s">
        <v>16</v>
      </c>
      <c r="M94" s="2"/>
      <c r="N94" s="2"/>
      <c r="O94" s="2"/>
      <c r="P94" s="2"/>
      <c r="Q94" s="2"/>
      <c r="R94" s="2" t="s">
        <v>150</v>
      </c>
      <c r="S94" s="2"/>
      <c r="T94" s="2"/>
      <c r="U94" s="2"/>
      <c r="V94" s="2"/>
      <c r="W94" s="2" t="str">
        <f>IF(INDEX(EquipmentInfo[Thuê CQ],PlanTable[[#This Row],[I]])=0,"",INDEX(EquipmentInfo[Thuê CQ],PlanTable[[#This Row],[I]]))</f>
        <v/>
      </c>
      <c r="X94" s="2" t="str">
        <f>INDEX(EquipmentInfo[Người phụ trách],PlanTable[[#This Row],[I]])</f>
        <v>Tuấn</v>
      </c>
      <c r="Y94" s="2"/>
      <c r="Z94" s="1"/>
    </row>
    <row r="95" spans="1:26" x14ac:dyDescent="0.25">
      <c r="A95" s="2">
        <v>90</v>
      </c>
      <c r="B95" s="2">
        <f>MATCH(PlanTable[[#This Row],[Mã thiết bị]],EquipmentInfo[Mã thiết bị],0)</f>
        <v>95</v>
      </c>
      <c r="C95" s="22" t="str">
        <f>INDEX(EquipmentInfo[Tên thiết bị],MATCH(PlanTable[[#This Row],[Mã thiết bị]],EquipmentInfo[Mã thiết bị],0))</f>
        <v>Máy đo độ nhớt Lamy 1st Pro+</v>
      </c>
      <c r="D95" s="2" t="s">
        <v>141</v>
      </c>
      <c r="E95" s="2" t="str">
        <f>IF(INDEX(EquipmentInfo[KĐ cân],PlanTable[[#This Row],[I]])=0,"",INDEX(EquipmentInfo[KĐ cân],PlanTable[[#This Row],[I]]))</f>
        <v/>
      </c>
      <c r="F95" s="2" t="str">
        <f>IF(INDEX(EquipmentInfo[KĐ áp kế],PlanTable[[#This Row],[I]])=0,"",INDEX(EquipmentInfo[KĐ áp kế],PlanTable[[#This Row],[I]]))</f>
        <v/>
      </c>
      <c r="G95" s="2" t="str">
        <f>IF(INDEX(EquipmentInfo[KĐ AT],PlanTable[[#This Row],[I]])=0,"",INDEX(EquipmentInfo[KĐ AT],PlanTable[[#This Row],[I]]))</f>
        <v/>
      </c>
      <c r="H95" s="2" t="str">
        <f>IF(INDEX(EquipmentInfo[HC],PlanTable[[#This Row],[I]])=0,"",INDEX(EquipmentInfo[HC],PlanTable[[#This Row],[I]]))</f>
        <v/>
      </c>
      <c r="I95" s="2">
        <f>IF(INDEX(EquipmentInfo[BT],PlanTable[[#This Row],[I]])=0,"",INDEX(EquipmentInfo[BT],PlanTable[[#This Row],[I]]))</f>
        <v>6</v>
      </c>
      <c r="J95" s="2" t="str">
        <f>IF(INDEX(EquipmentInfo[PQ],PlanTable[[#This Row],[I]])=0,"",INDEX(EquipmentInfo[PQ],PlanTable[[#This Row],[I]]))</f>
        <v/>
      </c>
      <c r="K95" s="2" t="s">
        <v>16</v>
      </c>
      <c r="L95" s="2"/>
      <c r="M95" s="2"/>
      <c r="N95" s="2"/>
      <c r="O95" s="2"/>
      <c r="P95" s="2"/>
      <c r="Q95" s="2" t="s">
        <v>16</v>
      </c>
      <c r="R95" s="2"/>
      <c r="S95" s="2"/>
      <c r="T95" s="2"/>
      <c r="U95" s="2"/>
      <c r="V95" s="2"/>
      <c r="W95" s="2" t="str">
        <f>IF(INDEX(EquipmentInfo[Thuê CQ],PlanTable[[#This Row],[I]])=0,"",INDEX(EquipmentInfo[Thuê CQ],PlanTable[[#This Row],[I]]))</f>
        <v/>
      </c>
      <c r="X95" s="2" t="str">
        <f>INDEX(EquipmentInfo[Người phụ trách],PlanTable[[#This Row],[I]])</f>
        <v>Na</v>
      </c>
      <c r="Y95" s="2"/>
      <c r="Z95" s="1"/>
    </row>
    <row r="96" spans="1:26" ht="30" x14ac:dyDescent="0.25">
      <c r="A96" s="2">
        <v>91</v>
      </c>
      <c r="B96" s="2">
        <f>MATCH(PlanTable[[#This Row],[Mã thiết bị]],EquipmentInfo[Mã thiết bị],0)</f>
        <v>96</v>
      </c>
      <c r="C96" s="22" t="str">
        <f>INDEX(EquipmentInfo[Tên thiết bị],MATCH(PlanTable[[#This Row],[Mã thiết bị]],EquipmentInfo[Mã thiết bị],0))</f>
        <v>Tủ vi khí hậu Binder KBF 720</v>
      </c>
      <c r="D96" s="2" t="s">
        <v>142</v>
      </c>
      <c r="E96" s="2" t="str">
        <f>IF(INDEX(EquipmentInfo[KĐ cân],PlanTable[[#This Row],[I]])=0,"",INDEX(EquipmentInfo[KĐ cân],PlanTable[[#This Row],[I]]))</f>
        <v/>
      </c>
      <c r="F96" s="2" t="str">
        <f>IF(INDEX(EquipmentInfo[KĐ áp kế],PlanTable[[#This Row],[I]])=0,"",INDEX(EquipmentInfo[KĐ áp kế],PlanTable[[#This Row],[I]]))</f>
        <v/>
      </c>
      <c r="G96" s="2" t="str">
        <f>IF(INDEX(EquipmentInfo[KĐ AT],PlanTable[[#This Row],[I]])=0,"",INDEX(EquipmentInfo[KĐ AT],PlanTable[[#This Row],[I]]))</f>
        <v/>
      </c>
      <c r="H96" s="2">
        <f>IF(INDEX(EquipmentInfo[HC],PlanTable[[#This Row],[I]])=0,"",INDEX(EquipmentInfo[HC],PlanTable[[#This Row],[I]]))</f>
        <v>12</v>
      </c>
      <c r="I96" s="2">
        <f>IF(INDEX(EquipmentInfo[BT],PlanTable[[#This Row],[I]])=0,"",INDEX(EquipmentInfo[BT],PlanTable[[#This Row],[I]]))</f>
        <v>3</v>
      </c>
      <c r="J96" s="2" t="str">
        <f>IF(INDEX(EquipmentInfo[PQ],PlanTable[[#This Row],[I]])=0,"",INDEX(EquipmentInfo[PQ],PlanTable[[#This Row],[I]]))</f>
        <v/>
      </c>
      <c r="K96" s="2"/>
      <c r="L96" s="2"/>
      <c r="M96" s="2"/>
      <c r="N96" s="2" t="s">
        <v>150</v>
      </c>
      <c r="O96" s="2"/>
      <c r="P96" s="2"/>
      <c r="Q96" s="2"/>
      <c r="R96" s="2"/>
      <c r="S96" s="2"/>
      <c r="T96" s="2" t="s">
        <v>16</v>
      </c>
      <c r="U96" s="2"/>
      <c r="V96" s="2"/>
      <c r="W96" s="2" t="str">
        <f>IF(INDEX(EquipmentInfo[Thuê CQ],PlanTable[[#This Row],[I]])=0,"",INDEX(EquipmentInfo[Thuê CQ],PlanTable[[#This Row],[I]]))</f>
        <v/>
      </c>
      <c r="X96" s="2" t="str">
        <f>INDEX(EquipmentInfo[Người phụ trách],PlanTable[[#This Row],[I]])</f>
        <v>Trang</v>
      </c>
      <c r="Y96" s="2"/>
      <c r="Z96" s="1"/>
    </row>
    <row r="97" spans="1:26" x14ac:dyDescent="0.25">
      <c r="A97" s="2">
        <v>92</v>
      </c>
      <c r="B97" s="2">
        <f>MATCH(PlanTable[[#This Row],[Mã thiết bị]],EquipmentInfo[Mã thiết bị],0)</f>
        <v>97</v>
      </c>
      <c r="C97" s="22" t="str">
        <f>INDEX(EquipmentInfo[Tên thiết bị],MATCH(PlanTable[[#This Row],[Mã thiết bị]],EquipmentInfo[Mã thiết bị],0))</f>
        <v>Máy chuẩn bị MTHT ezfill+</v>
      </c>
      <c r="D97" s="2" t="s">
        <v>143</v>
      </c>
      <c r="E97" s="2" t="str">
        <f>IF(INDEX(EquipmentInfo[KĐ cân],PlanTable[[#This Row],[I]])=0,"",INDEX(EquipmentInfo[KĐ cân],PlanTable[[#This Row],[I]]))</f>
        <v/>
      </c>
      <c r="F97" s="2" t="str">
        <f>IF(INDEX(EquipmentInfo[KĐ áp kế],PlanTable[[#This Row],[I]])=0,"",INDEX(EquipmentInfo[KĐ áp kế],PlanTable[[#This Row],[I]]))</f>
        <v/>
      </c>
      <c r="G97" s="2" t="str">
        <f>IF(INDEX(EquipmentInfo[KĐ AT],PlanTable[[#This Row],[I]])=0,"",INDEX(EquipmentInfo[KĐ AT],PlanTable[[#This Row],[I]]))</f>
        <v/>
      </c>
      <c r="H97" s="2" t="str">
        <f>IF(INDEX(EquipmentInfo[HC],PlanTable[[#This Row],[I]])=0,"",INDEX(EquipmentInfo[HC],PlanTable[[#This Row],[I]]))</f>
        <v/>
      </c>
      <c r="I97" s="2">
        <f>IF(INDEX(EquipmentInfo[BT],PlanTable[[#This Row],[I]])=0,"",INDEX(EquipmentInfo[BT],PlanTable[[#This Row],[I]]))</f>
        <v>6</v>
      </c>
      <c r="J97" s="2" t="str">
        <f>IF(INDEX(EquipmentInfo[PQ],PlanTable[[#This Row],[I]])=0,"",INDEX(EquipmentInfo[PQ],PlanTable[[#This Row],[I]]))</f>
        <v/>
      </c>
      <c r="K97" s="2" t="s">
        <v>16</v>
      </c>
      <c r="L97" s="2"/>
      <c r="M97" s="2"/>
      <c r="N97" s="2"/>
      <c r="O97" s="2"/>
      <c r="P97" s="2"/>
      <c r="Q97" s="2" t="s">
        <v>16</v>
      </c>
      <c r="R97" s="2"/>
      <c r="S97" s="2"/>
      <c r="T97" s="2"/>
      <c r="U97" s="2"/>
      <c r="V97" s="2"/>
      <c r="W97" s="2" t="str">
        <f>IF(INDEX(EquipmentInfo[Thuê CQ],PlanTable[[#This Row],[I]])=0,"",INDEX(EquipmentInfo[Thuê CQ],PlanTable[[#This Row],[I]]))</f>
        <v/>
      </c>
      <c r="X97" s="2" t="str">
        <f>INDEX(EquipmentInfo[Người phụ trách],PlanTable[[#This Row],[I]])</f>
        <v>Na</v>
      </c>
      <c r="Y97" s="2"/>
      <c r="Z97" s="1"/>
    </row>
    <row r="98" spans="1:26" x14ac:dyDescent="0.25">
      <c r="A98" s="2">
        <v>93</v>
      </c>
      <c r="B98" s="2">
        <f>MATCH(PlanTable[[#This Row],[Mã thiết bị]],EquipmentInfo[Mã thiết bị],0)</f>
        <v>98</v>
      </c>
      <c r="C98" s="22" t="str">
        <f>INDEX(EquipmentInfo[Tên thiết bị],MATCH(PlanTable[[#This Row],[Mã thiết bị]],EquipmentInfo[Mã thiết bị],0))</f>
        <v>Tủ an toàn sinh học cấp II SafeFast Classic 212D</v>
      </c>
      <c r="D98" s="2" t="s">
        <v>144</v>
      </c>
      <c r="E98" s="2" t="str">
        <f>IF(INDEX(EquipmentInfo[KĐ cân],PlanTable[[#This Row],[I]])=0,"",INDEX(EquipmentInfo[KĐ cân],PlanTable[[#This Row],[I]]))</f>
        <v/>
      </c>
      <c r="F98" s="2" t="str">
        <f>IF(INDEX(EquipmentInfo[KĐ áp kế],PlanTable[[#This Row],[I]])=0,"",INDEX(EquipmentInfo[KĐ áp kế],PlanTable[[#This Row],[I]]))</f>
        <v/>
      </c>
      <c r="G98" s="2" t="str">
        <f>IF(INDEX(EquipmentInfo[KĐ AT],PlanTable[[#This Row],[I]])=0,"",INDEX(EquipmentInfo[KĐ AT],PlanTable[[#This Row],[I]]))</f>
        <v/>
      </c>
      <c r="H98" s="2" t="str">
        <f>IF(INDEX(EquipmentInfo[HC],PlanTable[[#This Row],[I]])=0,"",INDEX(EquipmentInfo[HC],PlanTable[[#This Row],[I]]))</f>
        <v/>
      </c>
      <c r="I98" s="2" t="str">
        <f>IF(INDEX(EquipmentInfo[BT],PlanTable[[#This Row],[I]])=0,"",INDEX(EquipmentInfo[BT],PlanTable[[#This Row],[I]]))</f>
        <v/>
      </c>
      <c r="J98" s="2">
        <f>IF(INDEX(EquipmentInfo[PQ],PlanTable[[#This Row],[I]])=0,"",INDEX(EquipmentInfo[PQ],PlanTable[[#This Row],[I]]))</f>
        <v>6</v>
      </c>
      <c r="K98" s="2"/>
      <c r="L98" s="2" t="s">
        <v>28</v>
      </c>
      <c r="M98" s="2"/>
      <c r="N98" s="2"/>
      <c r="O98" s="2"/>
      <c r="P98" s="2"/>
      <c r="Q98" s="2"/>
      <c r="R98" s="2" t="s">
        <v>28</v>
      </c>
      <c r="S98" s="2"/>
      <c r="T98" s="2"/>
      <c r="U98" s="2"/>
      <c r="V98" s="2"/>
      <c r="W98" s="2" t="str">
        <f>IF(INDEX(EquipmentInfo[Thuê CQ],PlanTable[[#This Row],[I]])=0,"",INDEX(EquipmentInfo[Thuê CQ],PlanTable[[#This Row],[I]]))</f>
        <v>x</v>
      </c>
      <c r="X98" s="2" t="str">
        <f>INDEX(EquipmentInfo[Người phụ trách],PlanTable[[#This Row],[I]])</f>
        <v>Vân</v>
      </c>
      <c r="Y98" s="2"/>
      <c r="Z98" s="1"/>
    </row>
    <row r="99" spans="1:26" x14ac:dyDescent="0.25">
      <c r="A99" s="2">
        <v>94</v>
      </c>
      <c r="B99" s="2">
        <f>MATCH(PlanTable[[#This Row],[Mã thiết bị]],EquipmentInfo[Mã thiết bị],0)</f>
        <v>99</v>
      </c>
      <c r="C99" s="22" t="str">
        <f>INDEX(EquipmentInfo[Tên thiết bị],MATCH(PlanTable[[#This Row],[Mã thiết bị]],EquipmentInfo[Mã thiết bị],0))</f>
        <v>Tủ an toàn sinh học cấp II Airtech</v>
      </c>
      <c r="D99" s="2" t="s">
        <v>145</v>
      </c>
      <c r="E99" s="2" t="str">
        <f>IF(INDEX(EquipmentInfo[KĐ cân],PlanTable[[#This Row],[I]])=0,"",INDEX(EquipmentInfo[KĐ cân],PlanTable[[#This Row],[I]]))</f>
        <v/>
      </c>
      <c r="F99" s="2" t="str">
        <f>IF(INDEX(EquipmentInfo[KĐ áp kế],PlanTable[[#This Row],[I]])=0,"",INDEX(EquipmentInfo[KĐ áp kế],PlanTable[[#This Row],[I]]))</f>
        <v/>
      </c>
      <c r="G99" s="2" t="str">
        <f>IF(INDEX(EquipmentInfo[KĐ AT],PlanTable[[#This Row],[I]])=0,"",INDEX(EquipmentInfo[KĐ AT],PlanTable[[#This Row],[I]]))</f>
        <v/>
      </c>
      <c r="H99" s="2" t="str">
        <f>IF(INDEX(EquipmentInfo[HC],PlanTable[[#This Row],[I]])=0,"",INDEX(EquipmentInfo[HC],PlanTable[[#This Row],[I]]))</f>
        <v/>
      </c>
      <c r="I99" s="2" t="str">
        <f>IF(INDEX(EquipmentInfo[BT],PlanTable[[#This Row],[I]])=0,"",INDEX(EquipmentInfo[BT],PlanTable[[#This Row],[I]]))</f>
        <v/>
      </c>
      <c r="J99" s="2">
        <f>IF(INDEX(EquipmentInfo[PQ],PlanTable[[#This Row],[I]])=0,"",INDEX(EquipmentInfo[PQ],PlanTable[[#This Row],[I]]))</f>
        <v>6</v>
      </c>
      <c r="K99" s="2"/>
      <c r="L99" s="2" t="s">
        <v>28</v>
      </c>
      <c r="M99" s="2"/>
      <c r="N99" s="2"/>
      <c r="O99" s="2"/>
      <c r="P99" s="2"/>
      <c r="Q99" s="2"/>
      <c r="R99" s="2" t="s">
        <v>28</v>
      </c>
      <c r="S99" s="2"/>
      <c r="T99" s="2"/>
      <c r="U99" s="2"/>
      <c r="V99" s="2"/>
      <c r="W99" s="2" t="str">
        <f>IF(INDEX(EquipmentInfo[Thuê CQ],PlanTable[[#This Row],[I]])=0,"",INDEX(EquipmentInfo[Thuê CQ],PlanTable[[#This Row],[I]]))</f>
        <v>x</v>
      </c>
      <c r="X99" s="2" t="str">
        <f>INDEX(EquipmentInfo[Người phụ trách],PlanTable[[#This Row],[I]])</f>
        <v>Vân</v>
      </c>
      <c r="Y99" s="2"/>
      <c r="Z99" s="1"/>
    </row>
    <row r="100" spans="1:26" x14ac:dyDescent="0.25">
      <c r="A100" s="2">
        <v>95</v>
      </c>
      <c r="B100" s="2">
        <f>MATCH(PlanTable[[#This Row],[Mã thiết bị]],EquipmentInfo[Mã thiết bị],0)</f>
        <v>100</v>
      </c>
      <c r="C100" s="22" t="str">
        <f>INDEX(EquipmentInfo[Tên thiết bị],MATCH(PlanTable[[#This Row],[Mã thiết bị]],EquipmentInfo[Mã thiết bị],0))</f>
        <v>Tủ ấm Binder KF170</v>
      </c>
      <c r="D100" s="2" t="s">
        <v>146</v>
      </c>
      <c r="E100" s="2" t="str">
        <f>IF(INDEX(EquipmentInfo[KĐ cân],PlanTable[[#This Row],[I]])=0,"",INDEX(EquipmentInfo[KĐ cân],PlanTable[[#This Row],[I]]))</f>
        <v/>
      </c>
      <c r="F100" s="2" t="str">
        <f>IF(INDEX(EquipmentInfo[KĐ áp kế],PlanTable[[#This Row],[I]])=0,"",INDEX(EquipmentInfo[KĐ áp kế],PlanTable[[#This Row],[I]]))</f>
        <v/>
      </c>
      <c r="G100" s="2" t="str">
        <f>IF(INDEX(EquipmentInfo[KĐ AT],PlanTable[[#This Row],[I]])=0,"",INDEX(EquipmentInfo[KĐ AT],PlanTable[[#This Row],[I]]))</f>
        <v/>
      </c>
      <c r="H100" s="2">
        <f>IF(INDEX(EquipmentInfo[HC],PlanTable[[#This Row],[I]])=0,"",INDEX(EquipmentInfo[HC],PlanTable[[#This Row],[I]]))</f>
        <v>12</v>
      </c>
      <c r="I100" s="2" t="str">
        <f>IF(INDEX(EquipmentInfo[BT],PlanTable[[#This Row],[I]])=0,"",INDEX(EquipmentInfo[BT],PlanTable[[#This Row],[I]]))</f>
        <v/>
      </c>
      <c r="J100" s="2" t="str">
        <f>IF(INDEX(EquipmentInfo[PQ],PlanTable[[#This Row],[I]])=0,"",INDEX(EquipmentInfo[PQ],PlanTable[[#This Row],[I]]))</f>
        <v/>
      </c>
      <c r="K100" s="2"/>
      <c r="L100" s="2"/>
      <c r="M100" s="2"/>
      <c r="N100" s="2"/>
      <c r="O100" s="2"/>
      <c r="P100" s="2"/>
      <c r="Q100" s="2"/>
      <c r="R100" s="2" t="s">
        <v>15</v>
      </c>
      <c r="S100" s="2"/>
      <c r="T100" s="2"/>
      <c r="U100" s="2"/>
      <c r="V100" s="2"/>
      <c r="W100" s="2" t="str">
        <f>IF(INDEX(EquipmentInfo[Thuê CQ],PlanTable[[#This Row],[I]])=0,"",INDEX(EquipmentInfo[Thuê CQ],PlanTable[[#This Row],[I]]))</f>
        <v>x</v>
      </c>
      <c r="X100" s="2" t="str">
        <f>INDEX(EquipmentInfo[Người phụ trách],PlanTable[[#This Row],[I]])</f>
        <v>Vân</v>
      </c>
      <c r="Y100" s="2"/>
      <c r="Z100" s="1"/>
    </row>
    <row r="101" spans="1:26" x14ac:dyDescent="0.25">
      <c r="A101" s="2">
        <v>96</v>
      </c>
      <c r="B101" s="2">
        <f>MATCH(PlanTable[[#This Row],[Mã thiết bị]],EquipmentInfo[Mã thiết bị],0)</f>
        <v>101</v>
      </c>
      <c r="C101" s="22" t="str">
        <f>INDEX(EquipmentInfo[Tên thiết bị],MATCH(PlanTable[[#This Row],[Mã thiết bị]],EquipmentInfo[Mã thiết bị],0))</f>
        <v>Tủ sấy Binder ED56</v>
      </c>
      <c r="D101" s="2" t="s">
        <v>147</v>
      </c>
      <c r="E101" s="2" t="str">
        <f>IF(INDEX(EquipmentInfo[KĐ cân],PlanTable[[#This Row],[I]])=0,"",INDEX(EquipmentInfo[KĐ cân],PlanTable[[#This Row],[I]]))</f>
        <v/>
      </c>
      <c r="F101" s="2" t="str">
        <f>IF(INDEX(EquipmentInfo[KĐ áp kế],PlanTable[[#This Row],[I]])=0,"",INDEX(EquipmentInfo[KĐ áp kế],PlanTable[[#This Row],[I]]))</f>
        <v/>
      </c>
      <c r="G101" s="2" t="str">
        <f>IF(INDEX(EquipmentInfo[KĐ AT],PlanTable[[#This Row],[I]])=0,"",INDEX(EquipmentInfo[KĐ AT],PlanTable[[#This Row],[I]]))</f>
        <v/>
      </c>
      <c r="H101" s="2">
        <f>IF(INDEX(EquipmentInfo[HC],PlanTable[[#This Row],[I]])=0,"",INDEX(EquipmentInfo[HC],PlanTable[[#This Row],[I]]))</f>
        <v>12</v>
      </c>
      <c r="I101" s="2" t="str">
        <f>IF(INDEX(EquipmentInfo[BT],PlanTable[[#This Row],[I]])=0,"",INDEX(EquipmentInfo[BT],PlanTable[[#This Row],[I]]))</f>
        <v/>
      </c>
      <c r="J101" s="2" t="str">
        <f>IF(INDEX(EquipmentInfo[PQ],PlanTable[[#This Row],[I]])=0,"",INDEX(EquipmentInfo[PQ],PlanTable[[#This Row],[I]]))</f>
        <v/>
      </c>
      <c r="K101" s="2"/>
      <c r="L101" s="2"/>
      <c r="M101" s="2"/>
      <c r="N101" s="2"/>
      <c r="O101" s="2"/>
      <c r="P101" s="2"/>
      <c r="Q101" s="2"/>
      <c r="R101" s="2" t="s">
        <v>15</v>
      </c>
      <c r="S101" s="2"/>
      <c r="T101" s="2"/>
      <c r="U101" s="2"/>
      <c r="V101" s="2"/>
      <c r="W101" s="2" t="str">
        <f>IF(INDEX(EquipmentInfo[Thuê CQ],PlanTable[[#This Row],[I]])=0,"",INDEX(EquipmentInfo[Thuê CQ],PlanTable[[#This Row],[I]]))</f>
        <v>x</v>
      </c>
      <c r="X101" s="2" t="str">
        <f>INDEX(EquipmentInfo[Người phụ trách],PlanTable[[#This Row],[I]])</f>
        <v>Cường</v>
      </c>
      <c r="Y101" s="2"/>
      <c r="Z101" s="1"/>
    </row>
    <row r="102" spans="1:26" x14ac:dyDescent="0.25">
      <c r="A102" s="2">
        <v>97</v>
      </c>
      <c r="B102" s="2">
        <f>MATCH(PlanTable[[#This Row],[Mã thiết bị]],EquipmentInfo[Mã thiết bị],0)</f>
        <v>102</v>
      </c>
      <c r="C102" s="22" t="str">
        <f>INDEX(EquipmentInfo[Tên thiết bị],MATCH(PlanTable[[#This Row],[Mã thiết bị]],EquipmentInfo[Mã thiết bị],0))</f>
        <v>Đồng hồ bấm giây</v>
      </c>
      <c r="D102" s="2" t="s">
        <v>151</v>
      </c>
      <c r="E102" s="2" t="str">
        <f>IF(INDEX(EquipmentInfo[KĐ cân],PlanTable[[#This Row],[I]])=0,"",INDEX(EquipmentInfo[KĐ cân],PlanTable[[#This Row],[I]]))</f>
        <v/>
      </c>
      <c r="F102" s="2" t="str">
        <f>IF(INDEX(EquipmentInfo[KĐ áp kế],PlanTable[[#This Row],[I]])=0,"",INDEX(EquipmentInfo[KĐ áp kế],PlanTable[[#This Row],[I]]))</f>
        <v/>
      </c>
      <c r="G102" s="2" t="str">
        <f>IF(INDEX(EquipmentInfo[KĐ AT],PlanTable[[#This Row],[I]])=0,"",INDEX(EquipmentInfo[KĐ AT],PlanTable[[#This Row],[I]]))</f>
        <v/>
      </c>
      <c r="H102" s="2">
        <f>IF(INDEX(EquipmentInfo[HC],PlanTable[[#This Row],[I]])=0,"",INDEX(EquipmentInfo[HC],PlanTable[[#This Row],[I]]))</f>
        <v>12</v>
      </c>
      <c r="I102" s="2" t="str">
        <f>IF(INDEX(EquipmentInfo[BT],PlanTable[[#This Row],[I]])=0,"",INDEX(EquipmentInfo[BT],PlanTable[[#This Row],[I]]))</f>
        <v/>
      </c>
      <c r="J102" s="2" t="str">
        <f>IF(INDEX(EquipmentInfo[PQ],PlanTable[[#This Row],[I]])=0,"",INDEX(EquipmentInfo[PQ],PlanTable[[#This Row],[I]]))</f>
        <v/>
      </c>
      <c r="K102" s="2"/>
      <c r="L102" s="2"/>
      <c r="M102" s="2"/>
      <c r="N102" s="2"/>
      <c r="O102" s="2"/>
      <c r="P102" s="2"/>
      <c r="Q102" s="2" t="s">
        <v>15</v>
      </c>
      <c r="R102" s="2"/>
      <c r="S102" s="2"/>
      <c r="T102" s="2"/>
      <c r="U102" s="2"/>
      <c r="V102" s="2"/>
      <c r="W102" s="2" t="str">
        <f>IF(INDEX(EquipmentInfo[Thuê CQ],PlanTable[[#This Row],[I]])=0,"",INDEX(EquipmentInfo[Thuê CQ],PlanTable[[#This Row],[I]]))</f>
        <v>x</v>
      </c>
      <c r="X102" s="2" t="str">
        <f>INDEX(EquipmentInfo[Người phụ trách],PlanTable[[#This Row],[I]])</f>
        <v>Cường</v>
      </c>
      <c r="Y102" s="2"/>
      <c r="Z102" s="1"/>
    </row>
    <row r="103" spans="1:26" x14ac:dyDescent="0.25">
      <c r="A103" s="2">
        <v>98</v>
      </c>
      <c r="B103" s="2">
        <f>MATCH(PlanTable[[#This Row],[Mã thiết bị]],EquipmentInfo[Mã thiết bị],0)</f>
        <v>103</v>
      </c>
      <c r="C103" s="22" t="str">
        <f>INDEX(EquipmentInfo[Tên thiết bị],MATCH(PlanTable[[#This Row],[Mã thiết bị]],EquipmentInfo[Mã thiết bị],0))</f>
        <v>Đồng hồ bấm giây</v>
      </c>
      <c r="D103" s="2" t="s">
        <v>152</v>
      </c>
      <c r="E103" s="2" t="str">
        <f>IF(INDEX(EquipmentInfo[KĐ cân],PlanTable[[#This Row],[I]])=0,"",INDEX(EquipmentInfo[KĐ cân],PlanTable[[#This Row],[I]]))</f>
        <v/>
      </c>
      <c r="F103" s="2" t="str">
        <f>IF(INDEX(EquipmentInfo[KĐ áp kế],PlanTable[[#This Row],[I]])=0,"",INDEX(EquipmentInfo[KĐ áp kế],PlanTable[[#This Row],[I]]))</f>
        <v/>
      </c>
      <c r="G103" s="2" t="str">
        <f>IF(INDEX(EquipmentInfo[KĐ AT],PlanTable[[#This Row],[I]])=0,"",INDEX(EquipmentInfo[KĐ AT],PlanTable[[#This Row],[I]]))</f>
        <v/>
      </c>
      <c r="H103" s="2">
        <f>IF(INDEX(EquipmentInfo[HC],PlanTable[[#This Row],[I]])=0,"",INDEX(EquipmentInfo[HC],PlanTable[[#This Row],[I]]))</f>
        <v>12</v>
      </c>
      <c r="I103" s="2" t="str">
        <f>IF(INDEX(EquipmentInfo[BT],PlanTable[[#This Row],[I]])=0,"",INDEX(EquipmentInfo[BT],PlanTable[[#This Row],[I]]))</f>
        <v/>
      </c>
      <c r="J103" s="2" t="str">
        <f>IF(INDEX(EquipmentInfo[PQ],PlanTable[[#This Row],[I]])=0,"",INDEX(EquipmentInfo[PQ],PlanTable[[#This Row],[I]]))</f>
        <v/>
      </c>
      <c r="K103" s="2"/>
      <c r="L103" s="2"/>
      <c r="M103" s="2"/>
      <c r="N103" s="2"/>
      <c r="O103" s="2"/>
      <c r="P103" s="2"/>
      <c r="Q103" s="2" t="s">
        <v>15</v>
      </c>
      <c r="R103" s="2"/>
      <c r="S103" s="2"/>
      <c r="T103" s="2"/>
      <c r="U103" s="2"/>
      <c r="V103" s="2"/>
      <c r="W103" s="2" t="str">
        <f>IF(INDEX(EquipmentInfo[Thuê CQ],PlanTable[[#This Row],[I]])=0,"",INDEX(EquipmentInfo[Thuê CQ],PlanTable[[#This Row],[I]]))</f>
        <v>x</v>
      </c>
      <c r="X103" s="2" t="str">
        <f>INDEX(EquipmentInfo[Người phụ trách],PlanTable[[#This Row],[I]])</f>
        <v>Cường</v>
      </c>
      <c r="Y103" s="2"/>
      <c r="Z103" s="1"/>
    </row>
    <row r="104" spans="1:26" ht="30" x14ac:dyDescent="0.25">
      <c r="A104" s="2">
        <v>99</v>
      </c>
      <c r="B104" s="2">
        <f>MATCH(PlanTable[[#This Row],[Mã thiết bị]],EquipmentInfo[Mã thiết bị],0)</f>
        <v>104</v>
      </c>
      <c r="C104" s="22" t="str">
        <f>INDEX(EquipmentInfo[Tên thiết bị],MATCH(PlanTable[[#This Row],[Mã thiết bị]],EquipmentInfo[Mã thiết bị],0))</f>
        <v>Máy HPLC Waters Arc số 1</v>
      </c>
      <c r="D104" s="2" t="s">
        <v>153</v>
      </c>
      <c r="E104" s="2" t="str">
        <f>IF(INDEX(EquipmentInfo[KĐ cân],PlanTable[[#This Row],[I]])=0,"",INDEX(EquipmentInfo[KĐ cân],PlanTable[[#This Row],[I]]))</f>
        <v/>
      </c>
      <c r="F104" s="2" t="str">
        <f>IF(INDEX(EquipmentInfo[KĐ áp kế],PlanTable[[#This Row],[I]])=0,"",INDEX(EquipmentInfo[KĐ áp kế],PlanTable[[#This Row],[I]]))</f>
        <v/>
      </c>
      <c r="G104" s="2" t="str">
        <f>IF(INDEX(EquipmentInfo[KĐ AT],PlanTable[[#This Row],[I]])=0,"",INDEX(EquipmentInfo[KĐ AT],PlanTable[[#This Row],[I]]))</f>
        <v/>
      </c>
      <c r="H104" s="2">
        <f>IF(INDEX(EquipmentInfo[HC],PlanTable[[#This Row],[I]])=0,"",INDEX(EquipmentInfo[HC],PlanTable[[#This Row],[I]]))</f>
        <v>12</v>
      </c>
      <c r="I104" s="2">
        <f>IF(INDEX(EquipmentInfo[BT],PlanTable[[#This Row],[I]])=0,"",INDEX(EquipmentInfo[BT],PlanTable[[#This Row],[I]]))</f>
        <v>6</v>
      </c>
      <c r="J104" s="2">
        <f>IF(INDEX(EquipmentInfo[PQ],PlanTable[[#This Row],[I]])=0,"",INDEX(EquipmentInfo[PQ],PlanTable[[#This Row],[I]]))</f>
        <v>12</v>
      </c>
      <c r="K104" s="2" t="s">
        <v>16</v>
      </c>
      <c r="L104" s="2"/>
      <c r="M104" s="2"/>
      <c r="N104" s="2"/>
      <c r="O104" s="2"/>
      <c r="P104" s="2"/>
      <c r="Q104" s="2" t="s">
        <v>706</v>
      </c>
      <c r="R104" s="2"/>
      <c r="S104" s="2"/>
      <c r="T104" s="2"/>
      <c r="U104" s="2"/>
      <c r="V104" s="2"/>
      <c r="W104" s="2" t="str">
        <f>IF(INDEX(EquipmentInfo[Thuê CQ],PlanTable[[#This Row],[I]])=0,"",INDEX(EquipmentInfo[Thuê CQ],PlanTable[[#This Row],[I]]))</f>
        <v>x</v>
      </c>
      <c r="X104" s="2" t="str">
        <f>INDEX(EquipmentInfo[Người phụ trách],PlanTable[[#This Row],[I]])</f>
        <v>Trang</v>
      </c>
      <c r="Y104" s="2"/>
      <c r="Z104" s="1"/>
    </row>
    <row r="105" spans="1:26" ht="30" x14ac:dyDescent="0.25">
      <c r="A105" s="2">
        <v>100</v>
      </c>
      <c r="B105" s="2">
        <f>MATCH(PlanTable[[#This Row],[Mã thiết bị]],EquipmentInfo[Mã thiết bị],0)</f>
        <v>105</v>
      </c>
      <c r="C105" s="22" t="str">
        <f>INDEX(EquipmentInfo[Tên thiết bị],MATCH(PlanTable[[#This Row],[Mã thiết bị]],EquipmentInfo[Mã thiết bị],0))</f>
        <v>Máy HPLC Waters Arc số 2</v>
      </c>
      <c r="D105" s="2" t="s">
        <v>154</v>
      </c>
      <c r="E105" s="2" t="str">
        <f>IF(INDEX(EquipmentInfo[KĐ cân],PlanTable[[#This Row],[I]])=0,"",INDEX(EquipmentInfo[KĐ cân],PlanTable[[#This Row],[I]]))</f>
        <v/>
      </c>
      <c r="F105" s="2" t="str">
        <f>IF(INDEX(EquipmentInfo[KĐ áp kế],PlanTable[[#This Row],[I]])=0,"",INDEX(EquipmentInfo[KĐ áp kế],PlanTable[[#This Row],[I]]))</f>
        <v/>
      </c>
      <c r="G105" s="2" t="str">
        <f>IF(INDEX(EquipmentInfo[KĐ AT],PlanTable[[#This Row],[I]])=0,"",INDEX(EquipmentInfo[KĐ AT],PlanTable[[#This Row],[I]]))</f>
        <v/>
      </c>
      <c r="H105" s="2">
        <f>IF(INDEX(EquipmentInfo[HC],PlanTable[[#This Row],[I]])=0,"",INDEX(EquipmentInfo[HC],PlanTable[[#This Row],[I]]))</f>
        <v>12</v>
      </c>
      <c r="I105" s="2">
        <f>IF(INDEX(EquipmentInfo[BT],PlanTable[[#This Row],[I]])=0,"",INDEX(EquipmentInfo[BT],PlanTable[[#This Row],[I]]))</f>
        <v>6</v>
      </c>
      <c r="J105" s="2">
        <f>IF(INDEX(EquipmentInfo[PQ],PlanTable[[#This Row],[I]])=0,"",INDEX(EquipmentInfo[PQ],PlanTable[[#This Row],[I]]))</f>
        <v>12</v>
      </c>
      <c r="K105" s="2" t="s">
        <v>16</v>
      </c>
      <c r="L105" s="2"/>
      <c r="M105" s="2"/>
      <c r="N105" s="2"/>
      <c r="O105" s="2"/>
      <c r="P105" s="2"/>
      <c r="Q105" s="2" t="s">
        <v>706</v>
      </c>
      <c r="R105" s="2"/>
      <c r="S105" s="2"/>
      <c r="T105" s="2"/>
      <c r="U105" s="2"/>
      <c r="V105" s="2"/>
      <c r="W105" s="2" t="str">
        <f>IF(INDEX(EquipmentInfo[Thuê CQ],PlanTable[[#This Row],[I]])=0,"",INDEX(EquipmentInfo[Thuê CQ],PlanTable[[#This Row],[I]]))</f>
        <v>x</v>
      </c>
      <c r="X105" s="2" t="str">
        <f>INDEX(EquipmentInfo[Người phụ trách],PlanTable[[#This Row],[I]])</f>
        <v>Trang</v>
      </c>
      <c r="Y105" s="2"/>
      <c r="Z105" s="1"/>
    </row>
    <row r="106" spans="1:26" x14ac:dyDescent="0.25">
      <c r="A106" s="2">
        <v>101</v>
      </c>
      <c r="B106" s="2">
        <f>MATCH(PlanTable[[#This Row],[Mã thiết bị]],EquipmentInfo[Mã thiết bị],0)</f>
        <v>106</v>
      </c>
      <c r="C106" s="22" t="str">
        <f>INDEX(EquipmentInfo[Tên thiết bị],MATCH(PlanTable[[#This Row],[Mã thiết bị]],EquipmentInfo[Mã thiết bị],0))</f>
        <v>Lò nung Naberthern L5/11/B510</v>
      </c>
      <c r="D106" s="2" t="s">
        <v>155</v>
      </c>
      <c r="E106" s="2" t="str">
        <f>IF(INDEX(EquipmentInfo[KĐ cân],PlanTable[[#This Row],[I]])=0,"",INDEX(EquipmentInfo[KĐ cân],PlanTable[[#This Row],[I]]))</f>
        <v/>
      </c>
      <c r="F106" s="2" t="str">
        <f>IF(INDEX(EquipmentInfo[KĐ áp kế],PlanTable[[#This Row],[I]])=0,"",INDEX(EquipmentInfo[KĐ áp kế],PlanTable[[#This Row],[I]]))</f>
        <v/>
      </c>
      <c r="G106" s="2" t="str">
        <f>IF(INDEX(EquipmentInfo[KĐ AT],PlanTable[[#This Row],[I]])=0,"",INDEX(EquipmentInfo[KĐ AT],PlanTable[[#This Row],[I]]))</f>
        <v/>
      </c>
      <c r="H106" s="2">
        <f>IF(INDEX(EquipmentInfo[HC],PlanTable[[#This Row],[I]])=0,"",INDEX(EquipmentInfo[HC],PlanTable[[#This Row],[I]]))</f>
        <v>12</v>
      </c>
      <c r="I106" s="2">
        <f>IF(INDEX(EquipmentInfo[BT],PlanTable[[#This Row],[I]])=0,"",INDEX(EquipmentInfo[BT],PlanTable[[#This Row],[I]]))</f>
        <v>3</v>
      </c>
      <c r="J106" s="2" t="str">
        <f>IF(INDEX(EquipmentInfo[PQ],PlanTable[[#This Row],[I]])=0,"",INDEX(EquipmentInfo[PQ],PlanTable[[#This Row],[I]]))</f>
        <v/>
      </c>
      <c r="K106" s="2" t="s">
        <v>16</v>
      </c>
      <c r="L106" s="2"/>
      <c r="M106" s="2"/>
      <c r="N106" s="2" t="s">
        <v>16</v>
      </c>
      <c r="O106" s="2"/>
      <c r="P106" s="2"/>
      <c r="Q106" s="2" t="s">
        <v>15</v>
      </c>
      <c r="R106" s="2"/>
      <c r="S106" s="2"/>
      <c r="T106" s="2" t="s">
        <v>16</v>
      </c>
      <c r="U106" s="2"/>
      <c r="V106" s="2"/>
      <c r="W106" s="2" t="str">
        <f>IF(INDEX(EquipmentInfo[Thuê CQ],PlanTable[[#This Row],[I]])=0,"",INDEX(EquipmentInfo[Thuê CQ],PlanTable[[#This Row],[I]]))</f>
        <v/>
      </c>
      <c r="X106" s="2" t="str">
        <f>INDEX(EquipmentInfo[Người phụ trách],PlanTable[[#This Row],[I]])</f>
        <v>Cường</v>
      </c>
      <c r="Y106" s="2"/>
      <c r="Z106" s="1"/>
    </row>
    <row r="107" spans="1:26" x14ac:dyDescent="0.25">
      <c r="A107" s="2">
        <v>102</v>
      </c>
      <c r="B107" s="2">
        <f>MATCH(PlanTable[[#This Row],[Mã thiết bị]],EquipmentInfo[Mã thiết bị],0)</f>
        <v>107</v>
      </c>
      <c r="C107" s="22" t="str">
        <f>INDEX(EquipmentInfo[Tên thiết bị],MATCH(PlanTable[[#This Row],[Mã thiết bị]],EquipmentInfo[Mã thiết bị],0))</f>
        <v>Tủ lạnh Frimed AF140</v>
      </c>
      <c r="D107" s="2" t="s">
        <v>156</v>
      </c>
      <c r="E107" s="2" t="str">
        <f>IF(INDEX(EquipmentInfo[KĐ cân],PlanTable[[#This Row],[I]])=0,"",INDEX(EquipmentInfo[KĐ cân],PlanTable[[#This Row],[I]]))</f>
        <v/>
      </c>
      <c r="F107" s="2" t="str">
        <f>IF(INDEX(EquipmentInfo[KĐ áp kế],PlanTable[[#This Row],[I]])=0,"",INDEX(EquipmentInfo[KĐ áp kế],PlanTable[[#This Row],[I]]))</f>
        <v/>
      </c>
      <c r="G107" s="2" t="str">
        <f>IF(INDEX(EquipmentInfo[KĐ AT],PlanTable[[#This Row],[I]])=0,"",INDEX(EquipmentInfo[KĐ AT],PlanTable[[#This Row],[I]]))</f>
        <v/>
      </c>
      <c r="H107" s="2">
        <f>IF(INDEX(EquipmentInfo[HC],PlanTable[[#This Row],[I]])=0,"",INDEX(EquipmentInfo[HC],PlanTable[[#This Row],[I]]))</f>
        <v>12</v>
      </c>
      <c r="I107" s="2" t="str">
        <f>IF(INDEX(EquipmentInfo[BT],PlanTable[[#This Row],[I]])=0,"",INDEX(EquipmentInfo[BT],PlanTable[[#This Row],[I]]))</f>
        <v/>
      </c>
      <c r="J107" s="2" t="str">
        <f>IF(INDEX(EquipmentInfo[PQ],PlanTable[[#This Row],[I]])=0,"",INDEX(EquipmentInfo[PQ],PlanTable[[#This Row],[I]]))</f>
        <v/>
      </c>
      <c r="K107" s="2"/>
      <c r="L107" s="2"/>
      <c r="M107" s="2"/>
      <c r="N107" s="2"/>
      <c r="O107" s="2"/>
      <c r="P107" s="2"/>
      <c r="Q107" s="2"/>
      <c r="R107" s="2" t="s">
        <v>15</v>
      </c>
      <c r="S107" s="2"/>
      <c r="T107" s="2"/>
      <c r="U107" s="2"/>
      <c r="V107" s="2"/>
      <c r="W107" s="2" t="str">
        <f>IF(INDEX(EquipmentInfo[Thuê CQ],PlanTable[[#This Row],[I]])=0,"",INDEX(EquipmentInfo[Thuê CQ],PlanTable[[#This Row],[I]]))</f>
        <v/>
      </c>
      <c r="X107" s="2" t="str">
        <f>INDEX(EquipmentInfo[Người phụ trách],PlanTable[[#This Row],[I]])</f>
        <v>Cường</v>
      </c>
      <c r="Y107" s="2"/>
      <c r="Z107" s="1"/>
    </row>
    <row r="108" spans="1:26" x14ac:dyDescent="0.25">
      <c r="A108" s="2">
        <v>103</v>
      </c>
      <c r="B108" s="2">
        <f>MATCH(PlanTable[[#This Row],[Mã thiết bị]],EquipmentInfo[Mã thiết bị],0)</f>
        <v>108</v>
      </c>
      <c r="C108" s="22" t="str">
        <f>INDEX(EquipmentInfo[Tên thiết bị],MATCH(PlanTable[[#This Row],[Mã thiết bị]],EquipmentInfo[Mã thiết bị],0))</f>
        <v>Datalogger Testo Saveris 2-H2</v>
      </c>
      <c r="D108" s="2" t="s">
        <v>157</v>
      </c>
      <c r="E108" s="2" t="str">
        <f>IF(INDEX(EquipmentInfo[KĐ cân],PlanTable[[#This Row],[I]])=0,"",INDEX(EquipmentInfo[KĐ cân],PlanTable[[#This Row],[I]]))</f>
        <v/>
      </c>
      <c r="F108" s="2" t="str">
        <f>IF(INDEX(EquipmentInfo[KĐ áp kế],PlanTable[[#This Row],[I]])=0,"",INDEX(EquipmentInfo[KĐ áp kế],PlanTable[[#This Row],[I]]))</f>
        <v/>
      </c>
      <c r="G108" s="2" t="str">
        <f>IF(INDEX(EquipmentInfo[KĐ AT],PlanTable[[#This Row],[I]])=0,"",INDEX(EquipmentInfo[KĐ AT],PlanTable[[#This Row],[I]]))</f>
        <v/>
      </c>
      <c r="H108" s="2">
        <f>IF(INDEX(EquipmentInfo[HC],PlanTable[[#This Row],[I]])=0,"",INDEX(EquipmentInfo[HC],PlanTable[[#This Row],[I]]))</f>
        <v>12</v>
      </c>
      <c r="I108" s="2" t="str">
        <f>IF(INDEX(EquipmentInfo[BT],PlanTable[[#This Row],[I]])=0,"",INDEX(EquipmentInfo[BT],PlanTable[[#This Row],[I]]))</f>
        <v/>
      </c>
      <c r="J108" s="2" t="str">
        <f>IF(INDEX(EquipmentInfo[PQ],PlanTable[[#This Row],[I]])=0,"",INDEX(EquipmentInfo[PQ],PlanTable[[#This Row],[I]]))</f>
        <v/>
      </c>
      <c r="K108" s="2"/>
      <c r="L108" s="2"/>
      <c r="M108" s="2"/>
      <c r="N108" s="2"/>
      <c r="O108" s="2"/>
      <c r="P108" s="2"/>
      <c r="Q108" s="2"/>
      <c r="R108" s="2" t="s">
        <v>15</v>
      </c>
      <c r="S108" s="2"/>
      <c r="T108" s="2"/>
      <c r="U108" s="2"/>
      <c r="V108" s="2"/>
      <c r="W108" s="2" t="str">
        <f>IF(INDEX(EquipmentInfo[Thuê CQ],PlanTable[[#This Row],[I]])=0,"",INDEX(EquipmentInfo[Thuê CQ],PlanTable[[#This Row],[I]]))</f>
        <v/>
      </c>
      <c r="X108" s="2" t="str">
        <f>INDEX(EquipmentInfo[Người phụ trách],PlanTable[[#This Row],[I]])</f>
        <v>Tuấn</v>
      </c>
      <c r="Y108" s="2"/>
      <c r="Z108" s="1"/>
    </row>
    <row r="109" spans="1:26" x14ac:dyDescent="0.25">
      <c r="A109" s="2">
        <v>104</v>
      </c>
      <c r="B109" s="2">
        <f>MATCH(PlanTable[[#This Row],[Mã thiết bị]],EquipmentInfo[Mã thiết bị],0)</f>
        <v>109</v>
      </c>
      <c r="C109" s="22" t="str">
        <f>INDEX(EquipmentInfo[Tên thiết bị],MATCH(PlanTable[[#This Row],[Mã thiết bị]],EquipmentInfo[Mã thiết bị],0))</f>
        <v>Tủ hút 1</v>
      </c>
      <c r="D109" s="2" t="s">
        <v>158</v>
      </c>
      <c r="E109" s="2" t="str">
        <f>IF(INDEX(EquipmentInfo[KĐ cân],PlanTable[[#This Row],[I]])=0,"",INDEX(EquipmentInfo[KĐ cân],PlanTable[[#This Row],[I]]))</f>
        <v/>
      </c>
      <c r="F109" s="2" t="str">
        <f>IF(INDEX(EquipmentInfo[KĐ áp kế],PlanTable[[#This Row],[I]])=0,"",INDEX(EquipmentInfo[KĐ áp kế],PlanTable[[#This Row],[I]]))</f>
        <v/>
      </c>
      <c r="G109" s="2" t="str">
        <f>IF(INDEX(EquipmentInfo[KĐ AT],PlanTable[[#This Row],[I]])=0,"",INDEX(EquipmentInfo[KĐ AT],PlanTable[[#This Row],[I]]))</f>
        <v/>
      </c>
      <c r="H109" s="2" t="str">
        <f>IF(INDEX(EquipmentInfo[HC],PlanTable[[#This Row],[I]])=0,"",INDEX(EquipmentInfo[HC],PlanTable[[#This Row],[I]]))</f>
        <v/>
      </c>
      <c r="I109" s="2">
        <f>IF(INDEX(EquipmentInfo[BT],PlanTable[[#This Row],[I]])=0,"",INDEX(EquipmentInfo[BT],PlanTable[[#This Row],[I]]))</f>
        <v>3</v>
      </c>
      <c r="J109" s="2" t="str">
        <f>IF(INDEX(EquipmentInfo[PQ],PlanTable[[#This Row],[I]])=0,"",INDEX(EquipmentInfo[PQ],PlanTable[[#This Row],[I]]))</f>
        <v/>
      </c>
      <c r="K109" s="2" t="s">
        <v>16</v>
      </c>
      <c r="L109" s="2"/>
      <c r="M109" s="2"/>
      <c r="N109" s="2" t="s">
        <v>16</v>
      </c>
      <c r="O109" s="2"/>
      <c r="P109" s="2"/>
      <c r="Q109" s="2" t="s">
        <v>16</v>
      </c>
      <c r="R109" s="2"/>
      <c r="S109" s="2"/>
      <c r="T109" s="2" t="s">
        <v>16</v>
      </c>
      <c r="U109" s="2"/>
      <c r="V109" s="2"/>
      <c r="W109" s="2" t="str">
        <f>IF(INDEX(EquipmentInfo[Thuê CQ],PlanTable[[#This Row],[I]])=0,"",INDEX(EquipmentInfo[Thuê CQ],PlanTable[[#This Row],[I]]))</f>
        <v/>
      </c>
      <c r="X109" s="2" t="str">
        <f>INDEX(EquipmentInfo[Người phụ trách],PlanTable[[#This Row],[I]])</f>
        <v>Cường</v>
      </c>
      <c r="Y109" s="2"/>
      <c r="Z109" s="1"/>
    </row>
    <row r="110" spans="1:26" x14ac:dyDescent="0.25">
      <c r="A110" s="2">
        <v>105</v>
      </c>
      <c r="B110" s="2">
        <f>MATCH(PlanTable[[#This Row],[Mã thiết bị]],EquipmentInfo[Mã thiết bị],0)</f>
        <v>110</v>
      </c>
      <c r="C110" s="22" t="str">
        <f>INDEX(EquipmentInfo[Tên thiết bị],MATCH(PlanTable[[#This Row],[Mã thiết bị]],EquipmentInfo[Mã thiết bị],0))</f>
        <v>Tủ hút 2</v>
      </c>
      <c r="D110" s="2" t="s">
        <v>159</v>
      </c>
      <c r="E110" s="2" t="str">
        <f>IF(INDEX(EquipmentInfo[KĐ cân],PlanTable[[#This Row],[I]])=0,"",INDEX(EquipmentInfo[KĐ cân],PlanTable[[#This Row],[I]]))</f>
        <v/>
      </c>
      <c r="F110" s="2" t="str">
        <f>IF(INDEX(EquipmentInfo[KĐ áp kế],PlanTable[[#This Row],[I]])=0,"",INDEX(EquipmentInfo[KĐ áp kế],PlanTable[[#This Row],[I]]))</f>
        <v/>
      </c>
      <c r="G110" s="2" t="str">
        <f>IF(INDEX(EquipmentInfo[KĐ AT],PlanTable[[#This Row],[I]])=0,"",INDEX(EquipmentInfo[KĐ AT],PlanTable[[#This Row],[I]]))</f>
        <v/>
      </c>
      <c r="H110" s="2" t="str">
        <f>IF(INDEX(EquipmentInfo[HC],PlanTable[[#This Row],[I]])=0,"",INDEX(EquipmentInfo[HC],PlanTable[[#This Row],[I]]))</f>
        <v/>
      </c>
      <c r="I110" s="2">
        <f>IF(INDEX(EquipmentInfo[BT],PlanTable[[#This Row],[I]])=0,"",INDEX(EquipmentInfo[BT],PlanTable[[#This Row],[I]]))</f>
        <v>3</v>
      </c>
      <c r="J110" s="2" t="str">
        <f>IF(INDEX(EquipmentInfo[PQ],PlanTable[[#This Row],[I]])=0,"",INDEX(EquipmentInfo[PQ],PlanTable[[#This Row],[I]]))</f>
        <v/>
      </c>
      <c r="K110" s="2" t="s">
        <v>16</v>
      </c>
      <c r="L110" s="2"/>
      <c r="M110" s="2"/>
      <c r="N110" s="2" t="s">
        <v>16</v>
      </c>
      <c r="O110" s="2"/>
      <c r="P110" s="2"/>
      <c r="Q110" s="2" t="s">
        <v>16</v>
      </c>
      <c r="R110" s="2"/>
      <c r="S110" s="2"/>
      <c r="T110" s="2" t="s">
        <v>16</v>
      </c>
      <c r="U110" s="2"/>
      <c r="V110" s="2"/>
      <c r="W110" s="2" t="str">
        <f>IF(INDEX(EquipmentInfo[Thuê CQ],PlanTable[[#This Row],[I]])=0,"",INDEX(EquipmentInfo[Thuê CQ],PlanTable[[#This Row],[I]]))</f>
        <v/>
      </c>
      <c r="X110" s="2" t="str">
        <f>INDEX(EquipmentInfo[Người phụ trách],PlanTable[[#This Row],[I]])</f>
        <v>Cường</v>
      </c>
      <c r="Y110" s="2"/>
      <c r="Z110" s="1"/>
    </row>
    <row r="111" spans="1:26" x14ac:dyDescent="0.25">
      <c r="A111" s="2">
        <v>106</v>
      </c>
      <c r="B111" s="2">
        <f>MATCH(PlanTable[[#This Row],[Mã thiết bị]],EquipmentInfo[Mã thiết bị],0)</f>
        <v>111</v>
      </c>
      <c r="C111" s="22" t="str">
        <f>INDEX(EquipmentInfo[Tên thiết bị],MATCH(PlanTable[[#This Row],[Mã thiết bị]],EquipmentInfo[Mã thiết bị],0))</f>
        <v>Tủ hút 3</v>
      </c>
      <c r="D111" s="2" t="s">
        <v>160</v>
      </c>
      <c r="E111" s="2" t="str">
        <f>IF(INDEX(EquipmentInfo[KĐ cân],PlanTable[[#This Row],[I]])=0,"",INDEX(EquipmentInfo[KĐ cân],PlanTable[[#This Row],[I]]))</f>
        <v/>
      </c>
      <c r="F111" s="2" t="str">
        <f>IF(INDEX(EquipmentInfo[KĐ áp kế],PlanTable[[#This Row],[I]])=0,"",INDEX(EquipmentInfo[KĐ áp kế],PlanTable[[#This Row],[I]]))</f>
        <v/>
      </c>
      <c r="G111" s="2" t="str">
        <f>IF(INDEX(EquipmentInfo[KĐ AT],PlanTable[[#This Row],[I]])=0,"",INDEX(EquipmentInfo[KĐ AT],PlanTable[[#This Row],[I]]))</f>
        <v/>
      </c>
      <c r="H111" s="2" t="str">
        <f>IF(INDEX(EquipmentInfo[HC],PlanTable[[#This Row],[I]])=0,"",INDEX(EquipmentInfo[HC],PlanTable[[#This Row],[I]]))</f>
        <v/>
      </c>
      <c r="I111" s="2">
        <f>IF(INDEX(EquipmentInfo[BT],PlanTable[[#This Row],[I]])=0,"",INDEX(EquipmentInfo[BT],PlanTable[[#This Row],[I]]))</f>
        <v>3</v>
      </c>
      <c r="J111" s="2" t="str">
        <f>IF(INDEX(EquipmentInfo[PQ],PlanTable[[#This Row],[I]])=0,"",INDEX(EquipmentInfo[PQ],PlanTable[[#This Row],[I]]))</f>
        <v/>
      </c>
      <c r="K111" s="2" t="s">
        <v>16</v>
      </c>
      <c r="L111" s="2"/>
      <c r="M111" s="2"/>
      <c r="N111" s="2" t="s">
        <v>16</v>
      </c>
      <c r="O111" s="2"/>
      <c r="P111" s="2"/>
      <c r="Q111" s="2" t="s">
        <v>16</v>
      </c>
      <c r="R111" s="2"/>
      <c r="S111" s="2"/>
      <c r="T111" s="2" t="s">
        <v>16</v>
      </c>
      <c r="U111" s="2"/>
      <c r="V111" s="2"/>
      <c r="W111" s="2" t="str">
        <f>IF(INDEX(EquipmentInfo[Thuê CQ],PlanTable[[#This Row],[I]])=0,"",INDEX(EquipmentInfo[Thuê CQ],PlanTable[[#This Row],[I]]))</f>
        <v/>
      </c>
      <c r="X111" s="2" t="str">
        <f>INDEX(EquipmentInfo[Người phụ trách],PlanTable[[#This Row],[I]])</f>
        <v>Cường</v>
      </c>
      <c r="Y111" s="2"/>
      <c r="Z111" s="1"/>
    </row>
    <row r="112" spans="1:26" x14ac:dyDescent="0.25">
      <c r="A112" s="2">
        <v>107</v>
      </c>
      <c r="B112" s="2">
        <f>MATCH(PlanTable[[#This Row],[Mã thiết bị]],EquipmentInfo[Mã thiết bị],0)</f>
        <v>112</v>
      </c>
      <c r="C112" s="22" t="str">
        <f>INDEX(EquipmentInfo[Tên thiết bị],MATCH(PlanTable[[#This Row],[Mã thiết bị]],EquipmentInfo[Mã thiết bị],0))</f>
        <v>Tủ hút 4</v>
      </c>
      <c r="D112" s="2" t="s">
        <v>161</v>
      </c>
      <c r="E112" s="2" t="str">
        <f>IF(INDEX(EquipmentInfo[KĐ cân],PlanTable[[#This Row],[I]])=0,"",INDEX(EquipmentInfo[KĐ cân],PlanTable[[#This Row],[I]]))</f>
        <v/>
      </c>
      <c r="F112" s="2" t="str">
        <f>IF(INDEX(EquipmentInfo[KĐ áp kế],PlanTable[[#This Row],[I]])=0,"",INDEX(EquipmentInfo[KĐ áp kế],PlanTable[[#This Row],[I]]))</f>
        <v/>
      </c>
      <c r="G112" s="2" t="str">
        <f>IF(INDEX(EquipmentInfo[KĐ AT],PlanTable[[#This Row],[I]])=0,"",INDEX(EquipmentInfo[KĐ AT],PlanTable[[#This Row],[I]]))</f>
        <v/>
      </c>
      <c r="H112" s="2" t="str">
        <f>IF(INDEX(EquipmentInfo[HC],PlanTable[[#This Row],[I]])=0,"",INDEX(EquipmentInfo[HC],PlanTable[[#This Row],[I]]))</f>
        <v/>
      </c>
      <c r="I112" s="2">
        <f>IF(INDEX(EquipmentInfo[BT],PlanTable[[#This Row],[I]])=0,"",INDEX(EquipmentInfo[BT],PlanTable[[#This Row],[I]]))</f>
        <v>3</v>
      </c>
      <c r="J112" s="2" t="str">
        <f>IF(INDEX(EquipmentInfo[PQ],PlanTable[[#This Row],[I]])=0,"",INDEX(EquipmentInfo[PQ],PlanTable[[#This Row],[I]]))</f>
        <v/>
      </c>
      <c r="K112" s="2" t="s">
        <v>16</v>
      </c>
      <c r="L112" s="2"/>
      <c r="M112" s="2"/>
      <c r="N112" s="2" t="s">
        <v>16</v>
      </c>
      <c r="O112" s="2"/>
      <c r="P112" s="2"/>
      <c r="Q112" s="2" t="s">
        <v>16</v>
      </c>
      <c r="R112" s="2"/>
      <c r="S112" s="2"/>
      <c r="T112" s="2" t="s">
        <v>16</v>
      </c>
      <c r="U112" s="2"/>
      <c r="V112" s="2"/>
      <c r="W112" s="2" t="str">
        <f>IF(INDEX(EquipmentInfo[Thuê CQ],PlanTable[[#This Row],[I]])=0,"",INDEX(EquipmentInfo[Thuê CQ],PlanTable[[#This Row],[I]]))</f>
        <v/>
      </c>
      <c r="X112" s="2" t="str">
        <f>INDEX(EquipmentInfo[Người phụ trách],PlanTable[[#This Row],[I]])</f>
        <v>Cường</v>
      </c>
      <c r="Y112" s="2"/>
      <c r="Z112" s="1"/>
    </row>
    <row r="113" spans="1:26" ht="30" x14ac:dyDescent="0.25">
      <c r="A113" s="2">
        <v>108</v>
      </c>
      <c r="B113" s="2">
        <f>MATCH(PlanTable[[#This Row],[Mã thiết bị]],EquipmentInfo[Mã thiết bị],0)</f>
        <v>113</v>
      </c>
      <c r="C113" s="22" t="str">
        <f>INDEX(EquipmentInfo[Tên thiết bị],MATCH(PlanTable[[#This Row],[Mã thiết bị]],EquipmentInfo[Mã thiết bị],0))</f>
        <v>Hệ thống HVAC phòng vi sinh</v>
      </c>
      <c r="D113" s="2" t="s">
        <v>162</v>
      </c>
      <c r="E113" s="2" t="str">
        <f>IF(INDEX(EquipmentInfo[KĐ cân],PlanTable[[#This Row],[I]])=0,"",INDEX(EquipmentInfo[KĐ cân],PlanTable[[#This Row],[I]]))</f>
        <v/>
      </c>
      <c r="F113" s="2" t="str">
        <f>IF(INDEX(EquipmentInfo[KĐ áp kế],PlanTable[[#This Row],[I]])=0,"",INDEX(EquipmentInfo[KĐ áp kế],PlanTable[[#This Row],[I]]))</f>
        <v/>
      </c>
      <c r="G113" s="2" t="str">
        <f>IF(INDEX(EquipmentInfo[KĐ AT],PlanTable[[#This Row],[I]])=0,"",INDEX(EquipmentInfo[KĐ AT],PlanTable[[#This Row],[I]]))</f>
        <v/>
      </c>
      <c r="H113" s="2" t="str">
        <f>IF(INDEX(EquipmentInfo[HC],PlanTable[[#This Row],[I]])=0,"",INDEX(EquipmentInfo[HC],PlanTable[[#This Row],[I]]))</f>
        <v/>
      </c>
      <c r="I113" s="2">
        <f>IF(INDEX(EquipmentInfo[BT],PlanTable[[#This Row],[I]])=0,"",INDEX(EquipmentInfo[BT],PlanTable[[#This Row],[I]]))</f>
        <v>3</v>
      </c>
      <c r="J113" s="2">
        <f>IF(INDEX(EquipmentInfo[PQ],PlanTable[[#This Row],[I]])=0,"",INDEX(EquipmentInfo[PQ],PlanTable[[#This Row],[I]]))</f>
        <v>12</v>
      </c>
      <c r="K113" s="2"/>
      <c r="L113" s="2" t="s">
        <v>16</v>
      </c>
      <c r="M113" s="2"/>
      <c r="N113" s="2"/>
      <c r="O113" s="2" t="s">
        <v>16</v>
      </c>
      <c r="P113" s="2"/>
      <c r="Q113" s="2"/>
      <c r="R113" s="2" t="s">
        <v>707</v>
      </c>
      <c r="S113" s="2"/>
      <c r="T113" s="2"/>
      <c r="U113" s="2" t="s">
        <v>16</v>
      </c>
      <c r="V113" s="2"/>
      <c r="W113" s="2" t="str">
        <f>IF(INDEX(EquipmentInfo[Thuê CQ],PlanTable[[#This Row],[I]])=0,"",INDEX(EquipmentInfo[Thuê CQ],PlanTable[[#This Row],[I]]))</f>
        <v/>
      </c>
      <c r="X113" s="2" t="str">
        <f>INDEX(EquipmentInfo[Người phụ trách],PlanTable[[#This Row],[I]])</f>
        <v>Vân</v>
      </c>
      <c r="Y113" s="2"/>
      <c r="Z113" s="1"/>
    </row>
    <row r="114" spans="1:26" x14ac:dyDescent="0.25">
      <c r="A114" s="2">
        <v>109</v>
      </c>
      <c r="B114" s="2">
        <f>MATCH(PlanTable[[#This Row],[Mã thiết bị]],EquipmentInfo[Mã thiết bị],0)</f>
        <v>114</v>
      </c>
      <c r="C114" s="22" t="str">
        <f>INDEX(EquipmentInfo[Tên thiết bị],MATCH(PlanTable[[#This Row],[Mã thiết bị]],EquipmentInfo[Mã thiết bị],0))</f>
        <v>Passbox 1</v>
      </c>
      <c r="D114" s="2" t="s">
        <v>163</v>
      </c>
      <c r="E114" s="2" t="str">
        <f>IF(INDEX(EquipmentInfo[KĐ cân],PlanTable[[#This Row],[I]])=0,"",INDEX(EquipmentInfo[KĐ cân],PlanTable[[#This Row],[I]]))</f>
        <v/>
      </c>
      <c r="F114" s="2" t="str">
        <f>IF(INDEX(EquipmentInfo[KĐ áp kế],PlanTable[[#This Row],[I]])=0,"",INDEX(EquipmentInfo[KĐ áp kế],PlanTable[[#This Row],[I]]))</f>
        <v/>
      </c>
      <c r="G114" s="2" t="str">
        <f>IF(INDEX(EquipmentInfo[KĐ AT],PlanTable[[#This Row],[I]])=0,"",INDEX(EquipmentInfo[KĐ AT],PlanTable[[#This Row],[I]]))</f>
        <v/>
      </c>
      <c r="H114" s="2" t="str">
        <f>IF(INDEX(EquipmentInfo[HC],PlanTable[[#This Row],[I]])=0,"",INDEX(EquipmentInfo[HC],PlanTable[[#This Row],[I]]))</f>
        <v/>
      </c>
      <c r="I114" s="2">
        <f>IF(INDEX(EquipmentInfo[BT],PlanTable[[#This Row],[I]])=0,"",INDEX(EquipmentInfo[BT],PlanTable[[#This Row],[I]]))</f>
        <v>12</v>
      </c>
      <c r="J114" s="2" t="str">
        <f>IF(INDEX(EquipmentInfo[PQ],PlanTable[[#This Row],[I]])=0,"",INDEX(EquipmentInfo[PQ],PlanTable[[#This Row],[I]]))</f>
        <v/>
      </c>
      <c r="K114" s="2"/>
      <c r="L114" s="2"/>
      <c r="M114" s="2"/>
      <c r="N114" s="2"/>
      <c r="O114" s="2"/>
      <c r="P114" s="2"/>
      <c r="Q114" s="2"/>
      <c r="R114" s="2" t="s">
        <v>16</v>
      </c>
      <c r="S114" s="2"/>
      <c r="T114" s="2"/>
      <c r="U114" s="2"/>
      <c r="V114" s="2"/>
      <c r="W114" s="2" t="str">
        <f>IF(INDEX(EquipmentInfo[Thuê CQ],PlanTable[[#This Row],[I]])=0,"",INDEX(EquipmentInfo[Thuê CQ],PlanTable[[#This Row],[I]]))</f>
        <v/>
      </c>
      <c r="X114" s="2" t="str">
        <f>INDEX(EquipmentInfo[Người phụ trách],PlanTable[[#This Row],[I]])</f>
        <v>Vân</v>
      </c>
      <c r="Y114" s="2"/>
      <c r="Z114" s="1"/>
    </row>
    <row r="115" spans="1:26" x14ac:dyDescent="0.25">
      <c r="A115" s="2">
        <v>110</v>
      </c>
      <c r="B115" s="2">
        <f>MATCH(PlanTable[[#This Row],[Mã thiết bị]],EquipmentInfo[Mã thiết bị],0)</f>
        <v>115</v>
      </c>
      <c r="C115" s="22" t="str">
        <f>INDEX(EquipmentInfo[Tên thiết bị],MATCH(PlanTable[[#This Row],[Mã thiết bị]],EquipmentInfo[Mã thiết bị],0))</f>
        <v>Passbox 2</v>
      </c>
      <c r="D115" s="2" t="s">
        <v>164</v>
      </c>
      <c r="E115" s="2" t="str">
        <f>IF(INDEX(EquipmentInfo[KĐ cân],PlanTable[[#This Row],[I]])=0,"",INDEX(EquipmentInfo[KĐ cân],PlanTable[[#This Row],[I]]))</f>
        <v/>
      </c>
      <c r="F115" s="2" t="str">
        <f>IF(INDEX(EquipmentInfo[KĐ áp kế],PlanTable[[#This Row],[I]])=0,"",INDEX(EquipmentInfo[KĐ áp kế],PlanTable[[#This Row],[I]]))</f>
        <v/>
      </c>
      <c r="G115" s="2" t="str">
        <f>IF(INDEX(EquipmentInfo[KĐ AT],PlanTable[[#This Row],[I]])=0,"",INDEX(EquipmentInfo[KĐ AT],PlanTable[[#This Row],[I]]))</f>
        <v/>
      </c>
      <c r="H115" s="2" t="str">
        <f>IF(INDEX(EquipmentInfo[HC],PlanTable[[#This Row],[I]])=0,"",INDEX(EquipmentInfo[HC],PlanTable[[#This Row],[I]]))</f>
        <v/>
      </c>
      <c r="I115" s="2">
        <f>IF(INDEX(EquipmentInfo[BT],PlanTable[[#This Row],[I]])=0,"",INDEX(EquipmentInfo[BT],PlanTable[[#This Row],[I]]))</f>
        <v>12</v>
      </c>
      <c r="J115" s="2" t="str">
        <f>IF(INDEX(EquipmentInfo[PQ],PlanTable[[#This Row],[I]])=0,"",INDEX(EquipmentInfo[PQ],PlanTable[[#This Row],[I]]))</f>
        <v/>
      </c>
      <c r="K115" s="2"/>
      <c r="L115" s="2"/>
      <c r="M115" s="2"/>
      <c r="N115" s="2"/>
      <c r="O115" s="2"/>
      <c r="P115" s="2"/>
      <c r="Q115" s="2"/>
      <c r="R115" s="2" t="s">
        <v>16</v>
      </c>
      <c r="S115" s="2"/>
      <c r="T115" s="2"/>
      <c r="U115" s="2"/>
      <c r="V115" s="2"/>
      <c r="W115" s="2" t="str">
        <f>IF(INDEX(EquipmentInfo[Thuê CQ],PlanTable[[#This Row],[I]])=0,"",INDEX(EquipmentInfo[Thuê CQ],PlanTable[[#This Row],[I]]))</f>
        <v/>
      </c>
      <c r="X115" s="2" t="str">
        <f>INDEX(EquipmentInfo[Người phụ trách],PlanTable[[#This Row],[I]])</f>
        <v>Vân</v>
      </c>
      <c r="Y115" s="2"/>
      <c r="Z115" s="1"/>
    </row>
    <row r="116" spans="1:26" x14ac:dyDescent="0.25">
      <c r="A116" s="2">
        <v>111</v>
      </c>
      <c r="B116" s="2">
        <f>MATCH(PlanTable[[#This Row],[Mã thiết bị]],EquipmentInfo[Mã thiết bị],0)</f>
        <v>116</v>
      </c>
      <c r="C116" s="22" t="str">
        <f>INDEX(EquipmentInfo[Tên thiết bị],MATCH(PlanTable[[#This Row],[Mã thiết bị]],EquipmentInfo[Mã thiết bị],0))</f>
        <v>Passbox 3</v>
      </c>
      <c r="D116" s="2" t="s">
        <v>165</v>
      </c>
      <c r="E116" s="2" t="str">
        <f>IF(INDEX(EquipmentInfo[KĐ cân],PlanTable[[#This Row],[I]])=0,"",INDEX(EquipmentInfo[KĐ cân],PlanTable[[#This Row],[I]]))</f>
        <v/>
      </c>
      <c r="F116" s="2" t="str">
        <f>IF(INDEX(EquipmentInfo[KĐ áp kế],PlanTable[[#This Row],[I]])=0,"",INDEX(EquipmentInfo[KĐ áp kế],PlanTable[[#This Row],[I]]))</f>
        <v/>
      </c>
      <c r="G116" s="2" t="str">
        <f>IF(INDEX(EquipmentInfo[KĐ AT],PlanTable[[#This Row],[I]])=0,"",INDEX(EquipmentInfo[KĐ AT],PlanTable[[#This Row],[I]]))</f>
        <v/>
      </c>
      <c r="H116" s="2" t="str">
        <f>IF(INDEX(EquipmentInfo[HC],PlanTable[[#This Row],[I]])=0,"",INDEX(EquipmentInfo[HC],PlanTable[[#This Row],[I]]))</f>
        <v/>
      </c>
      <c r="I116" s="2">
        <f>IF(INDEX(EquipmentInfo[BT],PlanTable[[#This Row],[I]])=0,"",INDEX(EquipmentInfo[BT],PlanTable[[#This Row],[I]]))</f>
        <v>12</v>
      </c>
      <c r="J116" s="2" t="str">
        <f>IF(INDEX(EquipmentInfo[PQ],PlanTable[[#This Row],[I]])=0,"",INDEX(EquipmentInfo[PQ],PlanTable[[#This Row],[I]]))</f>
        <v/>
      </c>
      <c r="K116" s="2"/>
      <c r="L116" s="2"/>
      <c r="M116" s="2"/>
      <c r="N116" s="2"/>
      <c r="O116" s="2"/>
      <c r="P116" s="2"/>
      <c r="Q116" s="2"/>
      <c r="R116" s="2" t="s">
        <v>16</v>
      </c>
      <c r="S116" s="2"/>
      <c r="T116" s="2"/>
      <c r="U116" s="2"/>
      <c r="V116" s="2"/>
      <c r="W116" s="2" t="str">
        <f>IF(INDEX(EquipmentInfo[Thuê CQ],PlanTable[[#This Row],[I]])=0,"",INDEX(EquipmentInfo[Thuê CQ],PlanTable[[#This Row],[I]]))</f>
        <v/>
      </c>
      <c r="X116" s="2" t="str">
        <f>INDEX(EquipmentInfo[Người phụ trách],PlanTable[[#This Row],[I]])</f>
        <v>Vân</v>
      </c>
      <c r="Y116" s="2"/>
      <c r="Z116" s="1"/>
    </row>
    <row r="117" spans="1:26" x14ac:dyDescent="0.25">
      <c r="A117" s="2">
        <v>112</v>
      </c>
      <c r="B117" s="2">
        <f>MATCH(PlanTable[[#This Row],[Mã thiết bị]],EquipmentInfo[Mã thiết bị],0)</f>
        <v>117</v>
      </c>
      <c r="C117" s="22" t="str">
        <f>INDEX(EquipmentInfo[Tên thiết bị],MATCH(PlanTable[[#This Row],[Mã thiết bị]],EquipmentInfo[Mã thiết bị],0))</f>
        <v>Passbox 4</v>
      </c>
      <c r="D117" s="2" t="s">
        <v>166</v>
      </c>
      <c r="E117" s="2" t="str">
        <f>IF(INDEX(EquipmentInfo[KĐ cân],PlanTable[[#This Row],[I]])=0,"",INDEX(EquipmentInfo[KĐ cân],PlanTable[[#This Row],[I]]))</f>
        <v/>
      </c>
      <c r="F117" s="2" t="str">
        <f>IF(INDEX(EquipmentInfo[KĐ áp kế],PlanTable[[#This Row],[I]])=0,"",INDEX(EquipmentInfo[KĐ áp kế],PlanTable[[#This Row],[I]]))</f>
        <v/>
      </c>
      <c r="G117" s="2" t="str">
        <f>IF(INDEX(EquipmentInfo[KĐ AT],PlanTable[[#This Row],[I]])=0,"",INDEX(EquipmentInfo[KĐ AT],PlanTable[[#This Row],[I]]))</f>
        <v/>
      </c>
      <c r="H117" s="2" t="str">
        <f>IF(INDEX(EquipmentInfo[HC],PlanTable[[#This Row],[I]])=0,"",INDEX(EquipmentInfo[HC],PlanTable[[#This Row],[I]]))</f>
        <v/>
      </c>
      <c r="I117" s="2">
        <f>IF(INDEX(EquipmentInfo[BT],PlanTable[[#This Row],[I]])=0,"",INDEX(EquipmentInfo[BT],PlanTable[[#This Row],[I]]))</f>
        <v>12</v>
      </c>
      <c r="J117" s="2" t="str">
        <f>IF(INDEX(EquipmentInfo[PQ],PlanTable[[#This Row],[I]])=0,"",INDEX(EquipmentInfo[PQ],PlanTable[[#This Row],[I]]))</f>
        <v/>
      </c>
      <c r="K117" s="2"/>
      <c r="L117" s="2"/>
      <c r="M117" s="2"/>
      <c r="N117" s="2"/>
      <c r="O117" s="2"/>
      <c r="P117" s="2"/>
      <c r="Q117" s="2"/>
      <c r="R117" s="2" t="s">
        <v>16</v>
      </c>
      <c r="S117" s="2"/>
      <c r="T117" s="2"/>
      <c r="U117" s="2"/>
      <c r="V117" s="2"/>
      <c r="W117" s="2" t="str">
        <f>IF(INDEX(EquipmentInfo[Thuê CQ],PlanTable[[#This Row],[I]])=0,"",INDEX(EquipmentInfo[Thuê CQ],PlanTable[[#This Row],[I]]))</f>
        <v/>
      </c>
      <c r="X117" s="2" t="str">
        <f>INDEX(EquipmentInfo[Người phụ trách],PlanTable[[#This Row],[I]])</f>
        <v>Vân</v>
      </c>
      <c r="Y117" s="2"/>
      <c r="Z117" s="1"/>
    </row>
    <row r="118" spans="1:26" x14ac:dyDescent="0.25">
      <c r="A118" s="2">
        <v>113</v>
      </c>
      <c r="B118" s="2">
        <f>MATCH(PlanTable[[#This Row],[Mã thiết bị]],EquipmentInfo[Mã thiết bị],0)</f>
        <v>118</v>
      </c>
      <c r="C118" s="22" t="str">
        <f>INDEX(EquipmentInfo[Tên thiết bị],MATCH(PlanTable[[#This Row],[Mã thiết bị]],EquipmentInfo[Mã thiết bị],0))</f>
        <v>Máy lắc siêu âm GT Sonic D20</v>
      </c>
      <c r="D118" s="2" t="s">
        <v>167</v>
      </c>
      <c r="E118" s="2" t="str">
        <f>IF(INDEX(EquipmentInfo[KĐ cân],PlanTable[[#This Row],[I]])=0,"",INDEX(EquipmentInfo[KĐ cân],PlanTable[[#This Row],[I]]))</f>
        <v/>
      </c>
      <c r="F118" s="2" t="str">
        <f>IF(INDEX(EquipmentInfo[KĐ áp kế],PlanTable[[#This Row],[I]])=0,"",INDEX(EquipmentInfo[KĐ áp kế],PlanTable[[#This Row],[I]]))</f>
        <v/>
      </c>
      <c r="G118" s="2" t="str">
        <f>IF(INDEX(EquipmentInfo[KĐ AT],PlanTable[[#This Row],[I]])=0,"",INDEX(EquipmentInfo[KĐ AT],PlanTable[[#This Row],[I]]))</f>
        <v/>
      </c>
      <c r="H118" s="2" t="str">
        <f>IF(INDEX(EquipmentInfo[HC],PlanTable[[#This Row],[I]])=0,"",INDEX(EquipmentInfo[HC],PlanTable[[#This Row],[I]]))</f>
        <v/>
      </c>
      <c r="I118" s="2">
        <f>IF(INDEX(EquipmentInfo[BT],PlanTable[[#This Row],[I]])=0,"",INDEX(EquipmentInfo[BT],PlanTable[[#This Row],[I]]))</f>
        <v>12</v>
      </c>
      <c r="J118" s="2" t="str">
        <f>IF(INDEX(EquipmentInfo[PQ],PlanTable[[#This Row],[I]])=0,"",INDEX(EquipmentInfo[PQ],PlanTable[[#This Row],[I]]))</f>
        <v/>
      </c>
      <c r="K118" s="2"/>
      <c r="L118" s="2"/>
      <c r="M118" s="2"/>
      <c r="N118" s="2"/>
      <c r="O118" s="2"/>
      <c r="P118" s="2"/>
      <c r="Q118" s="2"/>
      <c r="R118" s="2"/>
      <c r="S118" s="2"/>
      <c r="T118" s="2" t="s">
        <v>16</v>
      </c>
      <c r="U118" s="2"/>
      <c r="V118" s="2"/>
      <c r="W118" s="2" t="str">
        <f>IF(INDEX(EquipmentInfo[Thuê CQ],PlanTable[[#This Row],[I]])=0,"",INDEX(EquipmentInfo[Thuê CQ],PlanTable[[#This Row],[I]]))</f>
        <v/>
      </c>
      <c r="X118" s="2" t="str">
        <f>INDEX(EquipmentInfo[Người phụ trách],PlanTable[[#This Row],[I]])</f>
        <v>Thắm</v>
      </c>
      <c r="Y118" s="2"/>
      <c r="Z118" s="1"/>
    </row>
    <row r="119" spans="1:26" x14ac:dyDescent="0.25">
      <c r="A119" s="2">
        <v>114</v>
      </c>
      <c r="B119" s="2">
        <f>MATCH(PlanTable[[#This Row],[Mã thiết bị]],EquipmentInfo[Mã thiết bị],0)</f>
        <v>119</v>
      </c>
      <c r="C119" s="22" t="str">
        <f>INDEX(EquipmentInfo[Tên thiết bị],MATCH(PlanTable[[#This Row],[Mã thiết bị]],EquipmentInfo[Mã thiết bị],0))</f>
        <v>Máy lắc ngang Dlab SK-L330-Pro</v>
      </c>
      <c r="D119" s="2" t="s">
        <v>168</v>
      </c>
      <c r="E119" s="2" t="str">
        <f>IF(INDEX(EquipmentInfo[KĐ cân],PlanTable[[#This Row],[I]])=0,"",INDEX(EquipmentInfo[KĐ cân],PlanTable[[#This Row],[I]]))</f>
        <v/>
      </c>
      <c r="F119" s="2" t="str">
        <f>IF(INDEX(EquipmentInfo[KĐ áp kế],PlanTable[[#This Row],[I]])=0,"",INDEX(EquipmentInfo[KĐ áp kế],PlanTable[[#This Row],[I]]))</f>
        <v/>
      </c>
      <c r="G119" s="2" t="str">
        <f>IF(INDEX(EquipmentInfo[KĐ AT],PlanTable[[#This Row],[I]])=0,"",INDEX(EquipmentInfo[KĐ AT],PlanTable[[#This Row],[I]]))</f>
        <v/>
      </c>
      <c r="H119" s="2" t="str">
        <f>IF(INDEX(EquipmentInfo[HC],PlanTable[[#This Row],[I]])=0,"",INDEX(EquipmentInfo[HC],PlanTable[[#This Row],[I]]))</f>
        <v/>
      </c>
      <c r="I119" s="2">
        <f>IF(INDEX(EquipmentInfo[BT],PlanTable[[#This Row],[I]])=0,"",INDEX(EquipmentInfo[BT],PlanTable[[#This Row],[I]]))</f>
        <v>12</v>
      </c>
      <c r="J119" s="2" t="str">
        <f>IF(INDEX(EquipmentInfo[PQ],PlanTable[[#This Row],[I]])=0,"",INDEX(EquipmentInfo[PQ],PlanTable[[#This Row],[I]]))</f>
        <v/>
      </c>
      <c r="K119" s="2"/>
      <c r="L119" s="2"/>
      <c r="M119" s="2"/>
      <c r="N119" s="2"/>
      <c r="O119" s="2"/>
      <c r="P119" s="2"/>
      <c r="Q119" s="2"/>
      <c r="R119" s="2"/>
      <c r="S119" s="2"/>
      <c r="T119" s="2" t="s">
        <v>16</v>
      </c>
      <c r="U119" s="2"/>
      <c r="V119" s="2"/>
      <c r="W119" s="2" t="str">
        <f>IF(INDEX(EquipmentInfo[Thuê CQ],PlanTable[[#This Row],[I]])=0,"",INDEX(EquipmentInfo[Thuê CQ],PlanTable[[#This Row],[I]]))</f>
        <v/>
      </c>
      <c r="X119" s="2" t="str">
        <f>INDEX(EquipmentInfo[Người phụ trách],PlanTable[[#This Row],[I]])</f>
        <v>Vân</v>
      </c>
      <c r="Y119" s="2"/>
      <c r="Z119" s="1"/>
    </row>
    <row r="120" spans="1:26" x14ac:dyDescent="0.25">
      <c r="A120" s="2">
        <v>115</v>
      </c>
      <c r="B120" s="2">
        <f>MATCH(PlanTable[[#This Row],[Mã thiết bị]],EquipmentInfo[Mã thiết bị],0)</f>
        <v>122</v>
      </c>
      <c r="C120" s="22" t="str">
        <f>INDEX(EquipmentInfo[Tên thiết bị],MATCH(PlanTable[[#This Row],[Mã thiết bị]],EquipmentInfo[Mã thiết bị],0))</f>
        <v>Máy đo kích thước tiểu phân Mastesizer M3000</v>
      </c>
      <c r="D120" s="2" t="s">
        <v>169</v>
      </c>
      <c r="E120" s="2" t="str">
        <f>IF(INDEX(EquipmentInfo[KĐ cân],PlanTable[[#This Row],[I]])=0,"",INDEX(EquipmentInfo[KĐ cân],PlanTable[[#This Row],[I]]))</f>
        <v/>
      </c>
      <c r="F120" s="2" t="str">
        <f>IF(INDEX(EquipmentInfo[KĐ áp kế],PlanTable[[#This Row],[I]])=0,"",INDEX(EquipmentInfo[KĐ áp kế],PlanTable[[#This Row],[I]]))</f>
        <v/>
      </c>
      <c r="G120" s="2" t="str">
        <f>IF(INDEX(EquipmentInfo[KĐ AT],PlanTable[[#This Row],[I]])=0,"",INDEX(EquipmentInfo[KĐ AT],PlanTable[[#This Row],[I]]))</f>
        <v/>
      </c>
      <c r="H120" s="2" t="str">
        <f>IF(INDEX(EquipmentInfo[HC],PlanTable[[#This Row],[I]])=0,"",INDEX(EquipmentInfo[HC],PlanTable[[#This Row],[I]]))</f>
        <v/>
      </c>
      <c r="I120" s="2">
        <f>IF(INDEX(EquipmentInfo[BT],PlanTable[[#This Row],[I]])=0,"",INDEX(EquipmentInfo[BT],PlanTable[[#This Row],[I]]))</f>
        <v>12</v>
      </c>
      <c r="J120" s="2" t="str">
        <f>IF(INDEX(EquipmentInfo[PQ],PlanTable[[#This Row],[I]])=0,"",INDEX(EquipmentInfo[PQ],PlanTable[[#This Row],[I]]))</f>
        <v/>
      </c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 t="s">
        <v>16</v>
      </c>
      <c r="W120" s="2" t="str">
        <f>IF(INDEX(EquipmentInfo[Thuê CQ],PlanTable[[#This Row],[I]])=0,"",INDEX(EquipmentInfo[Thuê CQ],PlanTable[[#This Row],[I]]))</f>
        <v>x</v>
      </c>
      <c r="X120" s="2" t="str">
        <f>INDEX(EquipmentInfo[Người phụ trách],PlanTable[[#This Row],[I]])</f>
        <v>Tuấn</v>
      </c>
      <c r="Y120" s="2"/>
      <c r="Z120" s="1"/>
    </row>
    <row r="121" spans="1:26" x14ac:dyDescent="0.25">
      <c r="A121" s="2">
        <v>116</v>
      </c>
      <c r="B121" s="2">
        <f>MATCH(PlanTable[[#This Row],[Mã thiết bị]],EquipmentInfo[Mã thiết bị],0)</f>
        <v>123</v>
      </c>
      <c r="C121" s="22" t="str">
        <f>INDEX(EquipmentInfo[Tên thiết bị],MATCH(PlanTable[[#This Row],[Mã thiết bị]],EquipmentInfo[Mã thiết bị],0))</f>
        <v>Chênh áp kế</v>
      </c>
      <c r="D121" s="2" t="s">
        <v>170</v>
      </c>
      <c r="E121" s="2" t="str">
        <f>IF(INDEX(EquipmentInfo[KĐ cân],PlanTable[[#This Row],[I]])=0,"",INDEX(EquipmentInfo[KĐ cân],PlanTable[[#This Row],[I]]))</f>
        <v/>
      </c>
      <c r="F121" s="2" t="str">
        <f>IF(INDEX(EquipmentInfo[KĐ áp kế],PlanTable[[#This Row],[I]])=0,"",INDEX(EquipmentInfo[KĐ áp kế],PlanTable[[#This Row],[I]]))</f>
        <v/>
      </c>
      <c r="G121" s="2" t="str">
        <f>IF(INDEX(EquipmentInfo[KĐ AT],PlanTable[[#This Row],[I]])=0,"",INDEX(EquipmentInfo[KĐ AT],PlanTable[[#This Row],[I]]))</f>
        <v/>
      </c>
      <c r="H121" s="2">
        <f>IF(INDEX(EquipmentInfo[HC],PlanTable[[#This Row],[I]])=0,"",INDEX(EquipmentInfo[HC],PlanTable[[#This Row],[I]]))</f>
        <v>12</v>
      </c>
      <c r="I121" s="2" t="str">
        <f>IF(INDEX(EquipmentInfo[BT],PlanTable[[#This Row],[I]])=0,"",INDEX(EquipmentInfo[BT],PlanTable[[#This Row],[I]]))</f>
        <v/>
      </c>
      <c r="J121" s="2" t="str">
        <f>IF(INDEX(EquipmentInfo[PQ],PlanTable[[#This Row],[I]])=0,"",INDEX(EquipmentInfo[PQ],PlanTable[[#This Row],[I]]))</f>
        <v/>
      </c>
      <c r="K121" s="2"/>
      <c r="L121" s="2"/>
      <c r="M121" s="2"/>
      <c r="N121" s="2"/>
      <c r="O121" s="2"/>
      <c r="P121" s="2"/>
      <c r="Q121" s="2"/>
      <c r="R121" s="2" t="s">
        <v>15</v>
      </c>
      <c r="S121" s="2"/>
      <c r="T121" s="2"/>
      <c r="U121" s="2"/>
      <c r="V121" s="2"/>
      <c r="W121" s="2" t="str">
        <f>IF(INDEX(EquipmentInfo[Thuê CQ],PlanTable[[#This Row],[I]])=0,"",INDEX(EquipmentInfo[Thuê CQ],PlanTable[[#This Row],[I]]))</f>
        <v>x</v>
      </c>
      <c r="X121" s="2" t="str">
        <f>INDEX(EquipmentInfo[Người phụ trách],PlanTable[[#This Row],[I]])</f>
        <v>Vân</v>
      </c>
      <c r="Y121" s="2"/>
      <c r="Z121" s="1"/>
    </row>
    <row r="122" spans="1:26" x14ac:dyDescent="0.25">
      <c r="A122" s="2">
        <v>117</v>
      </c>
      <c r="B122" s="2">
        <f>MATCH(PlanTable[[#This Row],[Mã thiết bị]],EquipmentInfo[Mã thiết bị],0)</f>
        <v>124</v>
      </c>
      <c r="C122" s="22" t="str">
        <f>INDEX(EquipmentInfo[Tên thiết bị],MATCH(PlanTable[[#This Row],[Mã thiết bị]],EquipmentInfo[Mã thiết bị],0))</f>
        <v>Chênh áp kế</v>
      </c>
      <c r="D122" s="2" t="s">
        <v>171</v>
      </c>
      <c r="E122" s="2" t="str">
        <f>IF(INDEX(EquipmentInfo[KĐ cân],PlanTable[[#This Row],[I]])=0,"",INDEX(EquipmentInfo[KĐ cân],PlanTable[[#This Row],[I]]))</f>
        <v/>
      </c>
      <c r="F122" s="2" t="str">
        <f>IF(INDEX(EquipmentInfo[KĐ áp kế],PlanTable[[#This Row],[I]])=0,"",INDEX(EquipmentInfo[KĐ áp kế],PlanTable[[#This Row],[I]]))</f>
        <v/>
      </c>
      <c r="G122" s="2" t="str">
        <f>IF(INDEX(EquipmentInfo[KĐ AT],PlanTable[[#This Row],[I]])=0,"",INDEX(EquipmentInfo[KĐ AT],PlanTable[[#This Row],[I]]))</f>
        <v/>
      </c>
      <c r="H122" s="2">
        <f>IF(INDEX(EquipmentInfo[HC],PlanTable[[#This Row],[I]])=0,"",INDEX(EquipmentInfo[HC],PlanTable[[#This Row],[I]]))</f>
        <v>12</v>
      </c>
      <c r="I122" s="2" t="str">
        <f>IF(INDEX(EquipmentInfo[BT],PlanTable[[#This Row],[I]])=0,"",INDEX(EquipmentInfo[BT],PlanTable[[#This Row],[I]]))</f>
        <v/>
      </c>
      <c r="J122" s="2" t="str">
        <f>IF(INDEX(EquipmentInfo[PQ],PlanTable[[#This Row],[I]])=0,"",INDEX(EquipmentInfo[PQ],PlanTable[[#This Row],[I]]))</f>
        <v/>
      </c>
      <c r="K122" s="2"/>
      <c r="L122" s="2"/>
      <c r="M122" s="2"/>
      <c r="N122" s="2"/>
      <c r="O122" s="2"/>
      <c r="P122" s="2"/>
      <c r="Q122" s="2"/>
      <c r="R122" s="2" t="s">
        <v>15</v>
      </c>
      <c r="S122" s="2"/>
      <c r="T122" s="2"/>
      <c r="U122" s="2"/>
      <c r="V122" s="2"/>
      <c r="W122" s="2" t="str">
        <f>IF(INDEX(EquipmentInfo[Thuê CQ],PlanTable[[#This Row],[I]])=0,"",INDEX(EquipmentInfo[Thuê CQ],PlanTable[[#This Row],[I]]))</f>
        <v>x</v>
      </c>
      <c r="X122" s="2" t="str">
        <f>INDEX(EquipmentInfo[Người phụ trách],PlanTable[[#This Row],[I]])</f>
        <v>Vân</v>
      </c>
      <c r="Y122" s="2"/>
      <c r="Z122" s="1"/>
    </row>
    <row r="123" spans="1:26" x14ac:dyDescent="0.25">
      <c r="A123" s="2">
        <v>118</v>
      </c>
      <c r="B123" s="2">
        <f>MATCH(PlanTable[[#This Row],[Mã thiết bị]],EquipmentInfo[Mã thiết bị],0)</f>
        <v>125</v>
      </c>
      <c r="C123" s="22" t="str">
        <f>INDEX(EquipmentInfo[Tên thiết bị],MATCH(PlanTable[[#This Row],[Mã thiết bị]],EquipmentInfo[Mã thiết bị],0))</f>
        <v>Chênh áp kế</v>
      </c>
      <c r="D123" s="2" t="s">
        <v>172</v>
      </c>
      <c r="E123" s="2" t="str">
        <f>IF(INDEX(EquipmentInfo[KĐ cân],PlanTable[[#This Row],[I]])=0,"",INDEX(EquipmentInfo[KĐ cân],PlanTable[[#This Row],[I]]))</f>
        <v/>
      </c>
      <c r="F123" s="2" t="str">
        <f>IF(INDEX(EquipmentInfo[KĐ áp kế],PlanTable[[#This Row],[I]])=0,"",INDEX(EquipmentInfo[KĐ áp kế],PlanTable[[#This Row],[I]]))</f>
        <v/>
      </c>
      <c r="G123" s="2" t="str">
        <f>IF(INDEX(EquipmentInfo[KĐ AT],PlanTable[[#This Row],[I]])=0,"",INDEX(EquipmentInfo[KĐ AT],PlanTable[[#This Row],[I]]))</f>
        <v/>
      </c>
      <c r="H123" s="2">
        <f>IF(INDEX(EquipmentInfo[HC],PlanTable[[#This Row],[I]])=0,"",INDEX(EquipmentInfo[HC],PlanTable[[#This Row],[I]]))</f>
        <v>12</v>
      </c>
      <c r="I123" s="2" t="str">
        <f>IF(INDEX(EquipmentInfo[BT],PlanTable[[#This Row],[I]])=0,"",INDEX(EquipmentInfo[BT],PlanTable[[#This Row],[I]]))</f>
        <v/>
      </c>
      <c r="J123" s="2" t="str">
        <f>IF(INDEX(EquipmentInfo[PQ],PlanTable[[#This Row],[I]])=0,"",INDEX(EquipmentInfo[PQ],PlanTable[[#This Row],[I]]))</f>
        <v/>
      </c>
      <c r="K123" s="2"/>
      <c r="L123" s="2"/>
      <c r="M123" s="2"/>
      <c r="N123" s="2"/>
      <c r="O123" s="2"/>
      <c r="P123" s="2"/>
      <c r="Q123" s="2"/>
      <c r="R123" s="2" t="s">
        <v>15</v>
      </c>
      <c r="S123" s="2"/>
      <c r="T123" s="2"/>
      <c r="U123" s="2"/>
      <c r="V123" s="2"/>
      <c r="W123" s="2" t="str">
        <f>IF(INDEX(EquipmentInfo[Thuê CQ],PlanTable[[#This Row],[I]])=0,"",INDEX(EquipmentInfo[Thuê CQ],PlanTable[[#This Row],[I]]))</f>
        <v>x</v>
      </c>
      <c r="X123" s="2" t="str">
        <f>INDEX(EquipmentInfo[Người phụ trách],PlanTable[[#This Row],[I]])</f>
        <v>Vân</v>
      </c>
      <c r="Y123" s="2"/>
      <c r="Z123" s="1"/>
    </row>
    <row r="124" spans="1:26" x14ac:dyDescent="0.25">
      <c r="A124" s="2">
        <v>119</v>
      </c>
      <c r="B124" s="2">
        <f>MATCH(PlanTable[[#This Row],[Mã thiết bị]],EquipmentInfo[Mã thiết bị],0)</f>
        <v>126</v>
      </c>
      <c r="C124" s="22" t="str">
        <f>INDEX(EquipmentInfo[Tên thiết bị],MATCH(PlanTable[[#This Row],[Mã thiết bị]],EquipmentInfo[Mã thiết bị],0))</f>
        <v>Chênh áp kế</v>
      </c>
      <c r="D124" s="2" t="s">
        <v>173</v>
      </c>
      <c r="E124" s="2" t="str">
        <f>IF(INDEX(EquipmentInfo[KĐ cân],PlanTable[[#This Row],[I]])=0,"",INDEX(EquipmentInfo[KĐ cân],PlanTable[[#This Row],[I]]))</f>
        <v/>
      </c>
      <c r="F124" s="2" t="str">
        <f>IF(INDEX(EquipmentInfo[KĐ áp kế],PlanTable[[#This Row],[I]])=0,"",INDEX(EquipmentInfo[KĐ áp kế],PlanTable[[#This Row],[I]]))</f>
        <v/>
      </c>
      <c r="G124" s="2" t="str">
        <f>IF(INDEX(EquipmentInfo[KĐ AT],PlanTable[[#This Row],[I]])=0,"",INDEX(EquipmentInfo[KĐ AT],PlanTable[[#This Row],[I]]))</f>
        <v/>
      </c>
      <c r="H124" s="2">
        <f>IF(INDEX(EquipmentInfo[HC],PlanTable[[#This Row],[I]])=0,"",INDEX(EquipmentInfo[HC],PlanTable[[#This Row],[I]]))</f>
        <v>12</v>
      </c>
      <c r="I124" s="2" t="str">
        <f>IF(INDEX(EquipmentInfo[BT],PlanTable[[#This Row],[I]])=0,"",INDEX(EquipmentInfo[BT],PlanTable[[#This Row],[I]]))</f>
        <v/>
      </c>
      <c r="J124" s="2" t="str">
        <f>IF(INDEX(EquipmentInfo[PQ],PlanTable[[#This Row],[I]])=0,"",INDEX(EquipmentInfo[PQ],PlanTable[[#This Row],[I]]))</f>
        <v/>
      </c>
      <c r="K124" s="2"/>
      <c r="L124" s="2"/>
      <c r="M124" s="2"/>
      <c r="N124" s="2"/>
      <c r="O124" s="2"/>
      <c r="P124" s="2"/>
      <c r="Q124" s="2"/>
      <c r="R124" s="2" t="s">
        <v>15</v>
      </c>
      <c r="S124" s="2"/>
      <c r="T124" s="2"/>
      <c r="U124" s="2"/>
      <c r="V124" s="2"/>
      <c r="W124" s="2" t="str">
        <f>IF(INDEX(EquipmentInfo[Thuê CQ],PlanTable[[#This Row],[I]])=0,"",INDEX(EquipmentInfo[Thuê CQ],PlanTable[[#This Row],[I]]))</f>
        <v>x</v>
      </c>
      <c r="X124" s="2" t="str">
        <f>INDEX(EquipmentInfo[Người phụ trách],PlanTable[[#This Row],[I]])</f>
        <v>Vân</v>
      </c>
      <c r="Y124" s="2"/>
      <c r="Z124" s="1"/>
    </row>
    <row r="125" spans="1:26" x14ac:dyDescent="0.25">
      <c r="A125" s="2">
        <v>120</v>
      </c>
      <c r="B125" s="2">
        <f>MATCH(PlanTable[[#This Row],[Mã thiết bị]],EquipmentInfo[Mã thiết bị],0)</f>
        <v>127</v>
      </c>
      <c r="C125" s="22" t="str">
        <f>INDEX(EquipmentInfo[Tên thiết bị],MATCH(PlanTable[[#This Row],[Mã thiết bị]],EquipmentInfo[Mã thiết bị],0))</f>
        <v>Chênh áp kế</v>
      </c>
      <c r="D125" s="2" t="s">
        <v>174</v>
      </c>
      <c r="E125" s="2" t="str">
        <f>IF(INDEX(EquipmentInfo[KĐ cân],PlanTable[[#This Row],[I]])=0,"",INDEX(EquipmentInfo[KĐ cân],PlanTable[[#This Row],[I]]))</f>
        <v/>
      </c>
      <c r="F125" s="2" t="str">
        <f>IF(INDEX(EquipmentInfo[KĐ áp kế],PlanTable[[#This Row],[I]])=0,"",INDEX(EquipmentInfo[KĐ áp kế],PlanTable[[#This Row],[I]]))</f>
        <v/>
      </c>
      <c r="G125" s="2" t="str">
        <f>IF(INDEX(EquipmentInfo[KĐ AT],PlanTable[[#This Row],[I]])=0,"",INDEX(EquipmentInfo[KĐ AT],PlanTable[[#This Row],[I]]))</f>
        <v/>
      </c>
      <c r="H125" s="2">
        <f>IF(INDEX(EquipmentInfo[HC],PlanTable[[#This Row],[I]])=0,"",INDEX(EquipmentInfo[HC],PlanTable[[#This Row],[I]]))</f>
        <v>12</v>
      </c>
      <c r="I125" s="2" t="str">
        <f>IF(INDEX(EquipmentInfo[BT],PlanTable[[#This Row],[I]])=0,"",INDEX(EquipmentInfo[BT],PlanTable[[#This Row],[I]]))</f>
        <v/>
      </c>
      <c r="J125" s="2" t="str">
        <f>IF(INDEX(EquipmentInfo[PQ],PlanTable[[#This Row],[I]])=0,"",INDEX(EquipmentInfo[PQ],PlanTable[[#This Row],[I]]))</f>
        <v/>
      </c>
      <c r="K125" s="2"/>
      <c r="L125" s="2"/>
      <c r="M125" s="2"/>
      <c r="N125" s="2"/>
      <c r="O125" s="2"/>
      <c r="P125" s="2"/>
      <c r="Q125" s="2"/>
      <c r="R125" s="2" t="s">
        <v>15</v>
      </c>
      <c r="S125" s="2"/>
      <c r="T125" s="2"/>
      <c r="U125" s="2"/>
      <c r="V125" s="2"/>
      <c r="W125" s="2" t="str">
        <f>IF(INDEX(EquipmentInfo[Thuê CQ],PlanTable[[#This Row],[I]])=0,"",INDEX(EquipmentInfo[Thuê CQ],PlanTable[[#This Row],[I]]))</f>
        <v>x</v>
      </c>
      <c r="X125" s="2" t="str">
        <f>INDEX(EquipmentInfo[Người phụ trách],PlanTable[[#This Row],[I]])</f>
        <v>Vân</v>
      </c>
      <c r="Y125" s="2"/>
      <c r="Z125" s="1"/>
    </row>
    <row r="126" spans="1:26" x14ac:dyDescent="0.25">
      <c r="A126" s="2">
        <v>121</v>
      </c>
      <c r="B126" s="2">
        <f>MATCH(PlanTable[[#This Row],[Mã thiết bị]],EquipmentInfo[Mã thiết bị],0)</f>
        <v>128</v>
      </c>
      <c r="C126" s="22" t="str">
        <f>INDEX(EquipmentInfo[Tên thiết bị],MATCH(PlanTable[[#This Row],[Mã thiết bị]],EquipmentInfo[Mã thiết bị],0))</f>
        <v>Chênh áp kế</v>
      </c>
      <c r="D126" s="2" t="s">
        <v>175</v>
      </c>
      <c r="E126" s="2" t="str">
        <f>IF(INDEX(EquipmentInfo[KĐ cân],PlanTable[[#This Row],[I]])=0,"",INDEX(EquipmentInfo[KĐ cân],PlanTable[[#This Row],[I]]))</f>
        <v/>
      </c>
      <c r="F126" s="2" t="str">
        <f>IF(INDEX(EquipmentInfo[KĐ áp kế],PlanTable[[#This Row],[I]])=0,"",INDEX(EquipmentInfo[KĐ áp kế],PlanTable[[#This Row],[I]]))</f>
        <v/>
      </c>
      <c r="G126" s="2" t="str">
        <f>IF(INDEX(EquipmentInfo[KĐ AT],PlanTable[[#This Row],[I]])=0,"",INDEX(EquipmentInfo[KĐ AT],PlanTable[[#This Row],[I]]))</f>
        <v/>
      </c>
      <c r="H126" s="2">
        <f>IF(INDEX(EquipmentInfo[HC],PlanTable[[#This Row],[I]])=0,"",INDEX(EquipmentInfo[HC],PlanTable[[#This Row],[I]]))</f>
        <v>12</v>
      </c>
      <c r="I126" s="2" t="str">
        <f>IF(INDEX(EquipmentInfo[BT],PlanTable[[#This Row],[I]])=0,"",INDEX(EquipmentInfo[BT],PlanTable[[#This Row],[I]]))</f>
        <v/>
      </c>
      <c r="J126" s="2" t="str">
        <f>IF(INDEX(EquipmentInfo[PQ],PlanTable[[#This Row],[I]])=0,"",INDEX(EquipmentInfo[PQ],PlanTable[[#This Row],[I]]))</f>
        <v/>
      </c>
      <c r="K126" s="2"/>
      <c r="L126" s="2"/>
      <c r="M126" s="2"/>
      <c r="N126" s="2"/>
      <c r="O126" s="2"/>
      <c r="P126" s="2"/>
      <c r="Q126" s="2"/>
      <c r="R126" s="2" t="s">
        <v>15</v>
      </c>
      <c r="S126" s="2"/>
      <c r="T126" s="2"/>
      <c r="U126" s="2"/>
      <c r="V126" s="2"/>
      <c r="W126" s="2" t="str">
        <f>IF(INDEX(EquipmentInfo[Thuê CQ],PlanTable[[#This Row],[I]])=0,"",INDEX(EquipmentInfo[Thuê CQ],PlanTable[[#This Row],[I]]))</f>
        <v>x</v>
      </c>
      <c r="X126" s="2" t="str">
        <f>INDEX(EquipmentInfo[Người phụ trách],PlanTable[[#This Row],[I]])</f>
        <v>Vân</v>
      </c>
      <c r="Y126" s="2"/>
      <c r="Z126" s="1"/>
    </row>
    <row r="127" spans="1:26" x14ac:dyDescent="0.25">
      <c r="A127" s="2">
        <v>122</v>
      </c>
      <c r="B127" s="2">
        <f>MATCH(PlanTable[[#This Row],[Mã thiết bị]],EquipmentInfo[Mã thiết bị],0)</f>
        <v>129</v>
      </c>
      <c r="C127" s="22" t="str">
        <f>INDEX(EquipmentInfo[Tên thiết bị],MATCH(PlanTable[[#This Row],[Mã thiết bị]],EquipmentInfo[Mã thiết bị],0))</f>
        <v>Chênh áp kế</v>
      </c>
      <c r="D127" s="2" t="s">
        <v>176</v>
      </c>
      <c r="E127" s="2" t="str">
        <f>IF(INDEX(EquipmentInfo[KĐ cân],PlanTable[[#This Row],[I]])=0,"",INDEX(EquipmentInfo[KĐ cân],PlanTable[[#This Row],[I]]))</f>
        <v/>
      </c>
      <c r="F127" s="2" t="str">
        <f>IF(INDEX(EquipmentInfo[KĐ áp kế],PlanTable[[#This Row],[I]])=0,"",INDEX(EquipmentInfo[KĐ áp kế],PlanTable[[#This Row],[I]]))</f>
        <v/>
      </c>
      <c r="G127" s="2" t="str">
        <f>IF(INDEX(EquipmentInfo[KĐ AT],PlanTable[[#This Row],[I]])=0,"",INDEX(EquipmentInfo[KĐ AT],PlanTable[[#This Row],[I]]))</f>
        <v/>
      </c>
      <c r="H127" s="2">
        <f>IF(INDEX(EquipmentInfo[HC],PlanTable[[#This Row],[I]])=0,"",INDEX(EquipmentInfo[HC],PlanTable[[#This Row],[I]]))</f>
        <v>12</v>
      </c>
      <c r="I127" s="2" t="str">
        <f>IF(INDEX(EquipmentInfo[BT],PlanTable[[#This Row],[I]])=0,"",INDEX(EquipmentInfo[BT],PlanTable[[#This Row],[I]]))</f>
        <v/>
      </c>
      <c r="J127" s="2" t="str">
        <f>IF(INDEX(EquipmentInfo[PQ],PlanTable[[#This Row],[I]])=0,"",INDEX(EquipmentInfo[PQ],PlanTable[[#This Row],[I]]))</f>
        <v/>
      </c>
      <c r="K127" s="2"/>
      <c r="L127" s="2"/>
      <c r="M127" s="2"/>
      <c r="N127" s="2"/>
      <c r="O127" s="2"/>
      <c r="P127" s="2"/>
      <c r="Q127" s="2"/>
      <c r="R127" s="2" t="s">
        <v>15</v>
      </c>
      <c r="S127" s="2"/>
      <c r="T127" s="2"/>
      <c r="U127" s="2"/>
      <c r="V127" s="2"/>
      <c r="W127" s="2" t="str">
        <f>IF(INDEX(EquipmentInfo[Thuê CQ],PlanTable[[#This Row],[I]])=0,"",INDEX(EquipmentInfo[Thuê CQ],PlanTable[[#This Row],[I]]))</f>
        <v>x</v>
      </c>
      <c r="X127" s="2" t="str">
        <f>INDEX(EquipmentInfo[Người phụ trách],PlanTable[[#This Row],[I]])</f>
        <v>Vân</v>
      </c>
      <c r="Y127" s="2"/>
      <c r="Z127" s="1"/>
    </row>
    <row r="128" spans="1:26" x14ac:dyDescent="0.25">
      <c r="A128" s="2">
        <v>123</v>
      </c>
      <c r="B128" s="2">
        <f>MATCH(PlanTable[[#This Row],[Mã thiết bị]],EquipmentInfo[Mã thiết bị],0)</f>
        <v>130</v>
      </c>
      <c r="C128" s="22" t="str">
        <f>INDEX(EquipmentInfo[Tên thiết bị],MATCH(PlanTable[[#This Row],[Mã thiết bị]],EquipmentInfo[Mã thiết bị],0))</f>
        <v>Chênh áp kế</v>
      </c>
      <c r="D128" s="2" t="s">
        <v>177</v>
      </c>
      <c r="E128" s="2" t="str">
        <f>IF(INDEX(EquipmentInfo[KĐ cân],PlanTable[[#This Row],[I]])=0,"",INDEX(EquipmentInfo[KĐ cân],PlanTable[[#This Row],[I]]))</f>
        <v/>
      </c>
      <c r="F128" s="2" t="str">
        <f>IF(INDEX(EquipmentInfo[KĐ áp kế],PlanTable[[#This Row],[I]])=0,"",INDEX(EquipmentInfo[KĐ áp kế],PlanTable[[#This Row],[I]]))</f>
        <v/>
      </c>
      <c r="G128" s="2" t="str">
        <f>IF(INDEX(EquipmentInfo[KĐ AT],PlanTable[[#This Row],[I]])=0,"",INDEX(EquipmentInfo[KĐ AT],PlanTable[[#This Row],[I]]))</f>
        <v/>
      </c>
      <c r="H128" s="2">
        <f>IF(INDEX(EquipmentInfo[HC],PlanTable[[#This Row],[I]])=0,"",INDEX(EquipmentInfo[HC],PlanTable[[#This Row],[I]]))</f>
        <v>12</v>
      </c>
      <c r="I128" s="2" t="str">
        <f>IF(INDEX(EquipmentInfo[BT],PlanTable[[#This Row],[I]])=0,"",INDEX(EquipmentInfo[BT],PlanTable[[#This Row],[I]]))</f>
        <v/>
      </c>
      <c r="J128" s="2" t="str">
        <f>IF(INDEX(EquipmentInfo[PQ],PlanTable[[#This Row],[I]])=0,"",INDEX(EquipmentInfo[PQ],PlanTable[[#This Row],[I]]))</f>
        <v/>
      </c>
      <c r="K128" s="2"/>
      <c r="L128" s="2"/>
      <c r="M128" s="2"/>
      <c r="N128" s="2"/>
      <c r="O128" s="2"/>
      <c r="P128" s="2"/>
      <c r="Q128" s="2"/>
      <c r="R128" s="2" t="s">
        <v>15</v>
      </c>
      <c r="S128" s="2"/>
      <c r="T128" s="2"/>
      <c r="U128" s="2"/>
      <c r="V128" s="2"/>
      <c r="W128" s="2" t="str">
        <f>IF(INDEX(EquipmentInfo[Thuê CQ],PlanTable[[#This Row],[I]])=0,"",INDEX(EquipmentInfo[Thuê CQ],PlanTable[[#This Row],[I]]))</f>
        <v>x</v>
      </c>
      <c r="X128" s="2" t="str">
        <f>INDEX(EquipmentInfo[Người phụ trách],PlanTable[[#This Row],[I]])</f>
        <v>Vân</v>
      </c>
      <c r="Y128" s="2"/>
      <c r="Z128" s="1"/>
    </row>
    <row r="129" spans="1:26" x14ac:dyDescent="0.25">
      <c r="A129" s="2">
        <v>124</v>
      </c>
      <c r="B129" s="2">
        <f>MATCH(PlanTable[[#This Row],[Mã thiết bị]],EquipmentInfo[Mã thiết bị],0)</f>
        <v>131</v>
      </c>
      <c r="C129" s="22" t="str">
        <f>INDEX(EquipmentInfo[Tên thiết bị],MATCH(PlanTable[[#This Row],[Mã thiết bị]],EquipmentInfo[Mã thiết bị],0))</f>
        <v>Chênh áp kế</v>
      </c>
      <c r="D129" s="2" t="s">
        <v>178</v>
      </c>
      <c r="E129" s="2" t="str">
        <f>IF(INDEX(EquipmentInfo[KĐ cân],PlanTable[[#This Row],[I]])=0,"",INDEX(EquipmentInfo[KĐ cân],PlanTable[[#This Row],[I]]))</f>
        <v/>
      </c>
      <c r="F129" s="2" t="str">
        <f>IF(INDEX(EquipmentInfo[KĐ áp kế],PlanTable[[#This Row],[I]])=0,"",INDEX(EquipmentInfo[KĐ áp kế],PlanTable[[#This Row],[I]]))</f>
        <v/>
      </c>
      <c r="G129" s="2" t="str">
        <f>IF(INDEX(EquipmentInfo[KĐ AT],PlanTable[[#This Row],[I]])=0,"",INDEX(EquipmentInfo[KĐ AT],PlanTable[[#This Row],[I]]))</f>
        <v/>
      </c>
      <c r="H129" s="2">
        <f>IF(INDEX(EquipmentInfo[HC],PlanTable[[#This Row],[I]])=0,"",INDEX(EquipmentInfo[HC],PlanTable[[#This Row],[I]]))</f>
        <v>12</v>
      </c>
      <c r="I129" s="2" t="str">
        <f>IF(INDEX(EquipmentInfo[BT],PlanTable[[#This Row],[I]])=0,"",INDEX(EquipmentInfo[BT],PlanTable[[#This Row],[I]]))</f>
        <v/>
      </c>
      <c r="J129" s="2" t="str">
        <f>IF(INDEX(EquipmentInfo[PQ],PlanTable[[#This Row],[I]])=0,"",INDEX(EquipmentInfo[PQ],PlanTable[[#This Row],[I]]))</f>
        <v/>
      </c>
      <c r="K129" s="2"/>
      <c r="L129" s="2"/>
      <c r="M129" s="2"/>
      <c r="N129" s="2"/>
      <c r="O129" s="2"/>
      <c r="P129" s="2"/>
      <c r="Q129" s="2"/>
      <c r="R129" s="2" t="s">
        <v>15</v>
      </c>
      <c r="S129" s="2"/>
      <c r="T129" s="2"/>
      <c r="U129" s="2"/>
      <c r="V129" s="2"/>
      <c r="W129" s="2" t="str">
        <f>IF(INDEX(EquipmentInfo[Thuê CQ],PlanTable[[#This Row],[I]])=0,"",INDEX(EquipmentInfo[Thuê CQ],PlanTable[[#This Row],[I]]))</f>
        <v>x</v>
      </c>
      <c r="X129" s="2" t="str">
        <f>INDEX(EquipmentInfo[Người phụ trách],PlanTable[[#This Row],[I]])</f>
        <v>Vân</v>
      </c>
      <c r="Y129" s="2"/>
      <c r="Z129" s="1"/>
    </row>
    <row r="130" spans="1:26" x14ac:dyDescent="0.25">
      <c r="A130" s="2">
        <v>125</v>
      </c>
      <c r="B130" s="2">
        <f>MATCH(PlanTable[[#This Row],[Mã thiết bị]],EquipmentInfo[Mã thiết bị],0)</f>
        <v>132</v>
      </c>
      <c r="C130" s="22" t="str">
        <f>INDEX(EquipmentInfo[Tên thiết bị],MATCH(PlanTable[[#This Row],[Mã thiết bị]],EquipmentInfo[Mã thiết bị],0))</f>
        <v>Chênh áp kế</v>
      </c>
      <c r="D130" s="2" t="s">
        <v>179</v>
      </c>
      <c r="E130" s="2" t="str">
        <f>IF(INDEX(EquipmentInfo[KĐ cân],PlanTable[[#This Row],[I]])=0,"",INDEX(EquipmentInfo[KĐ cân],PlanTable[[#This Row],[I]]))</f>
        <v/>
      </c>
      <c r="F130" s="2" t="str">
        <f>IF(INDEX(EquipmentInfo[KĐ áp kế],PlanTable[[#This Row],[I]])=0,"",INDEX(EquipmentInfo[KĐ áp kế],PlanTable[[#This Row],[I]]))</f>
        <v/>
      </c>
      <c r="G130" s="2" t="str">
        <f>IF(INDEX(EquipmentInfo[KĐ AT],PlanTable[[#This Row],[I]])=0,"",INDEX(EquipmentInfo[KĐ AT],PlanTable[[#This Row],[I]]))</f>
        <v/>
      </c>
      <c r="H130" s="2">
        <f>IF(INDEX(EquipmentInfo[HC],PlanTable[[#This Row],[I]])=0,"",INDEX(EquipmentInfo[HC],PlanTable[[#This Row],[I]]))</f>
        <v>12</v>
      </c>
      <c r="I130" s="2" t="str">
        <f>IF(INDEX(EquipmentInfo[BT],PlanTable[[#This Row],[I]])=0,"",INDEX(EquipmentInfo[BT],PlanTable[[#This Row],[I]]))</f>
        <v/>
      </c>
      <c r="J130" s="2" t="str">
        <f>IF(INDEX(EquipmentInfo[PQ],PlanTable[[#This Row],[I]])=0,"",INDEX(EquipmentInfo[PQ],PlanTable[[#This Row],[I]]))</f>
        <v/>
      </c>
      <c r="K130" s="2"/>
      <c r="L130" s="2"/>
      <c r="M130" s="2"/>
      <c r="N130" s="2"/>
      <c r="O130" s="2"/>
      <c r="P130" s="2"/>
      <c r="Q130" s="2"/>
      <c r="R130" s="2" t="s">
        <v>15</v>
      </c>
      <c r="S130" s="2"/>
      <c r="T130" s="2"/>
      <c r="U130" s="2"/>
      <c r="V130" s="2"/>
      <c r="W130" s="2" t="str">
        <f>IF(INDEX(EquipmentInfo[Thuê CQ],PlanTable[[#This Row],[I]])=0,"",INDEX(EquipmentInfo[Thuê CQ],PlanTable[[#This Row],[I]]))</f>
        <v>x</v>
      </c>
      <c r="X130" s="2" t="str">
        <f>INDEX(EquipmentInfo[Người phụ trách],PlanTable[[#This Row],[I]])</f>
        <v>Vân</v>
      </c>
      <c r="Y130" s="2"/>
      <c r="Z130" s="1"/>
    </row>
    <row r="131" spans="1:26" x14ac:dyDescent="0.25">
      <c r="A131" s="2">
        <v>126</v>
      </c>
      <c r="B131" s="2">
        <f>MATCH(PlanTable[[#This Row],[Mã thiết bị]],EquipmentInfo[Mã thiết bị],0)</f>
        <v>133</v>
      </c>
      <c r="C131" s="22" t="str">
        <f>INDEX(EquipmentInfo[Tên thiết bị],MATCH(PlanTable[[#This Row],[Mã thiết bị]],EquipmentInfo[Mã thiết bị],0))</f>
        <v>Chênh áp kế</v>
      </c>
      <c r="D131" s="2" t="s">
        <v>180</v>
      </c>
      <c r="E131" s="2" t="str">
        <f>IF(INDEX(EquipmentInfo[KĐ cân],PlanTable[[#This Row],[I]])=0,"",INDEX(EquipmentInfo[KĐ cân],PlanTable[[#This Row],[I]]))</f>
        <v/>
      </c>
      <c r="F131" s="2" t="str">
        <f>IF(INDEX(EquipmentInfo[KĐ áp kế],PlanTable[[#This Row],[I]])=0,"",INDEX(EquipmentInfo[KĐ áp kế],PlanTable[[#This Row],[I]]))</f>
        <v/>
      </c>
      <c r="G131" s="2" t="str">
        <f>IF(INDEX(EquipmentInfo[KĐ AT],PlanTable[[#This Row],[I]])=0,"",INDEX(EquipmentInfo[KĐ AT],PlanTable[[#This Row],[I]]))</f>
        <v/>
      </c>
      <c r="H131" s="2">
        <f>IF(INDEX(EquipmentInfo[HC],PlanTable[[#This Row],[I]])=0,"",INDEX(EquipmentInfo[HC],PlanTable[[#This Row],[I]]))</f>
        <v>12</v>
      </c>
      <c r="I131" s="2" t="str">
        <f>IF(INDEX(EquipmentInfo[BT],PlanTable[[#This Row],[I]])=0,"",INDEX(EquipmentInfo[BT],PlanTable[[#This Row],[I]]))</f>
        <v/>
      </c>
      <c r="J131" s="2" t="str">
        <f>IF(INDEX(EquipmentInfo[PQ],PlanTable[[#This Row],[I]])=0,"",INDEX(EquipmentInfo[PQ],PlanTable[[#This Row],[I]]))</f>
        <v/>
      </c>
      <c r="K131" s="2"/>
      <c r="L131" s="2"/>
      <c r="M131" s="2"/>
      <c r="N131" s="2"/>
      <c r="O131" s="2"/>
      <c r="P131" s="2"/>
      <c r="Q131" s="2"/>
      <c r="R131" s="2" t="s">
        <v>15</v>
      </c>
      <c r="S131" s="2"/>
      <c r="T131" s="2"/>
      <c r="U131" s="2"/>
      <c r="V131" s="2"/>
      <c r="W131" s="2" t="str">
        <f>IF(INDEX(EquipmentInfo[Thuê CQ],PlanTable[[#This Row],[I]])=0,"",INDEX(EquipmentInfo[Thuê CQ],PlanTable[[#This Row],[I]]))</f>
        <v>x</v>
      </c>
      <c r="X131" s="2" t="str">
        <f>INDEX(EquipmentInfo[Người phụ trách],PlanTable[[#This Row],[I]])</f>
        <v>Vân</v>
      </c>
      <c r="Y131" s="2"/>
      <c r="Z131" s="1"/>
    </row>
    <row r="132" spans="1:26" x14ac:dyDescent="0.25">
      <c r="A132" s="2">
        <v>127</v>
      </c>
      <c r="B132" s="2">
        <f>MATCH(PlanTable[[#This Row],[Mã thiết bị]],EquipmentInfo[Mã thiết bị],0)</f>
        <v>134</v>
      </c>
      <c r="C132" s="22" t="str">
        <f>INDEX(EquipmentInfo[Tên thiết bị],MATCH(PlanTable[[#This Row],[Mã thiết bị]],EquipmentInfo[Mã thiết bị],0))</f>
        <v>Chênh áp kế</v>
      </c>
      <c r="D132" s="2" t="s">
        <v>181</v>
      </c>
      <c r="E132" s="2" t="str">
        <f>IF(INDEX(EquipmentInfo[KĐ cân],PlanTable[[#This Row],[I]])=0,"",INDEX(EquipmentInfo[KĐ cân],PlanTable[[#This Row],[I]]))</f>
        <v/>
      </c>
      <c r="F132" s="2" t="str">
        <f>IF(INDEX(EquipmentInfo[KĐ áp kế],PlanTable[[#This Row],[I]])=0,"",INDEX(EquipmentInfo[KĐ áp kế],PlanTable[[#This Row],[I]]))</f>
        <v/>
      </c>
      <c r="G132" s="2" t="str">
        <f>IF(INDEX(EquipmentInfo[KĐ AT],PlanTable[[#This Row],[I]])=0,"",INDEX(EquipmentInfo[KĐ AT],PlanTable[[#This Row],[I]]))</f>
        <v/>
      </c>
      <c r="H132" s="2">
        <f>IF(INDEX(EquipmentInfo[HC],PlanTable[[#This Row],[I]])=0,"",INDEX(EquipmentInfo[HC],PlanTable[[#This Row],[I]]))</f>
        <v>12</v>
      </c>
      <c r="I132" s="2" t="str">
        <f>IF(INDEX(EquipmentInfo[BT],PlanTable[[#This Row],[I]])=0,"",INDEX(EquipmentInfo[BT],PlanTable[[#This Row],[I]]))</f>
        <v/>
      </c>
      <c r="J132" s="2" t="str">
        <f>IF(INDEX(EquipmentInfo[PQ],PlanTable[[#This Row],[I]])=0,"",INDEX(EquipmentInfo[PQ],PlanTable[[#This Row],[I]]))</f>
        <v/>
      </c>
      <c r="K132" s="2"/>
      <c r="L132" s="2"/>
      <c r="M132" s="2"/>
      <c r="N132" s="2"/>
      <c r="O132" s="2"/>
      <c r="P132" s="2"/>
      <c r="Q132" s="2"/>
      <c r="R132" s="2" t="s">
        <v>15</v>
      </c>
      <c r="S132" s="2"/>
      <c r="T132" s="2"/>
      <c r="U132" s="2"/>
      <c r="V132" s="2"/>
      <c r="W132" s="2" t="str">
        <f>IF(INDEX(EquipmentInfo[Thuê CQ],PlanTable[[#This Row],[I]])=0,"",INDEX(EquipmentInfo[Thuê CQ],PlanTable[[#This Row],[I]]))</f>
        <v>x</v>
      </c>
      <c r="X132" s="2" t="str">
        <f>INDEX(EquipmentInfo[Người phụ trách],PlanTable[[#This Row],[I]])</f>
        <v>Vân</v>
      </c>
      <c r="Y132" s="2"/>
      <c r="Z132" s="1"/>
    </row>
    <row r="133" spans="1:26" x14ac:dyDescent="0.25">
      <c r="A133" s="2">
        <v>128</v>
      </c>
      <c r="B133" s="2">
        <f>MATCH(PlanTable[[#This Row],[Mã thiết bị]],EquipmentInfo[Mã thiết bị],0)</f>
        <v>135</v>
      </c>
      <c r="C133" s="22" t="str">
        <f>INDEX(EquipmentInfo[Tên thiết bị],MATCH(PlanTable[[#This Row],[Mã thiết bị]],EquipmentInfo[Mã thiết bị],0))</f>
        <v>Chênh áp kế</v>
      </c>
      <c r="D133" s="2" t="s">
        <v>182</v>
      </c>
      <c r="E133" s="2" t="str">
        <f>IF(INDEX(EquipmentInfo[KĐ cân],PlanTable[[#This Row],[I]])=0,"",INDEX(EquipmentInfo[KĐ cân],PlanTable[[#This Row],[I]]))</f>
        <v/>
      </c>
      <c r="F133" s="2" t="str">
        <f>IF(INDEX(EquipmentInfo[KĐ áp kế],PlanTable[[#This Row],[I]])=0,"",INDEX(EquipmentInfo[KĐ áp kế],PlanTable[[#This Row],[I]]))</f>
        <v/>
      </c>
      <c r="G133" s="2" t="str">
        <f>IF(INDEX(EquipmentInfo[KĐ AT],PlanTable[[#This Row],[I]])=0,"",INDEX(EquipmentInfo[KĐ AT],PlanTable[[#This Row],[I]]))</f>
        <v/>
      </c>
      <c r="H133" s="2">
        <f>IF(INDEX(EquipmentInfo[HC],PlanTable[[#This Row],[I]])=0,"",INDEX(EquipmentInfo[HC],PlanTable[[#This Row],[I]]))</f>
        <v>12</v>
      </c>
      <c r="I133" s="2" t="str">
        <f>IF(INDEX(EquipmentInfo[BT],PlanTable[[#This Row],[I]])=0,"",INDEX(EquipmentInfo[BT],PlanTable[[#This Row],[I]]))</f>
        <v/>
      </c>
      <c r="J133" s="2" t="str">
        <f>IF(INDEX(EquipmentInfo[PQ],PlanTable[[#This Row],[I]])=0,"",INDEX(EquipmentInfo[PQ],PlanTable[[#This Row],[I]]))</f>
        <v/>
      </c>
      <c r="K133" s="2"/>
      <c r="L133" s="2"/>
      <c r="M133" s="2"/>
      <c r="N133" s="2"/>
      <c r="O133" s="2"/>
      <c r="P133" s="2"/>
      <c r="Q133" s="2"/>
      <c r="R133" s="2" t="s">
        <v>15</v>
      </c>
      <c r="S133" s="2"/>
      <c r="T133" s="2"/>
      <c r="U133" s="2"/>
      <c r="V133" s="2"/>
      <c r="W133" s="2" t="str">
        <f>IF(INDEX(EquipmentInfo[Thuê CQ],PlanTable[[#This Row],[I]])=0,"",INDEX(EquipmentInfo[Thuê CQ],PlanTable[[#This Row],[I]]))</f>
        <v>x</v>
      </c>
      <c r="X133" s="2" t="str">
        <f>INDEX(EquipmentInfo[Người phụ trách],PlanTable[[#This Row],[I]])</f>
        <v>Vân</v>
      </c>
      <c r="Y133" s="2"/>
      <c r="Z133" s="1"/>
    </row>
    <row r="134" spans="1:26" x14ac:dyDescent="0.25">
      <c r="A134" s="2">
        <v>129</v>
      </c>
      <c r="B134" s="2">
        <f>MATCH(PlanTable[[#This Row],[Mã thiết bị]],EquipmentInfo[Mã thiết bị],0)</f>
        <v>136</v>
      </c>
      <c r="C134" s="22" t="str">
        <f>INDEX(EquipmentInfo[Tên thiết bị],MATCH(PlanTable[[#This Row],[Mã thiết bị]],EquipmentInfo[Mã thiết bị],0))</f>
        <v>Chênh áp kế</v>
      </c>
      <c r="D134" s="2" t="s">
        <v>183</v>
      </c>
      <c r="E134" s="2" t="str">
        <f>IF(INDEX(EquipmentInfo[KĐ cân],PlanTable[[#This Row],[I]])=0,"",INDEX(EquipmentInfo[KĐ cân],PlanTable[[#This Row],[I]]))</f>
        <v/>
      </c>
      <c r="F134" s="2" t="str">
        <f>IF(INDEX(EquipmentInfo[KĐ áp kế],PlanTable[[#This Row],[I]])=0,"",INDEX(EquipmentInfo[KĐ áp kế],PlanTable[[#This Row],[I]]))</f>
        <v/>
      </c>
      <c r="G134" s="2" t="str">
        <f>IF(INDEX(EquipmentInfo[KĐ AT],PlanTable[[#This Row],[I]])=0,"",INDEX(EquipmentInfo[KĐ AT],PlanTable[[#This Row],[I]]))</f>
        <v/>
      </c>
      <c r="H134" s="2">
        <f>IF(INDEX(EquipmentInfo[HC],PlanTable[[#This Row],[I]])=0,"",INDEX(EquipmentInfo[HC],PlanTable[[#This Row],[I]]))</f>
        <v>12</v>
      </c>
      <c r="I134" s="2" t="str">
        <f>IF(INDEX(EquipmentInfo[BT],PlanTable[[#This Row],[I]])=0,"",INDEX(EquipmentInfo[BT],PlanTable[[#This Row],[I]]))</f>
        <v/>
      </c>
      <c r="J134" s="2" t="str">
        <f>IF(INDEX(EquipmentInfo[PQ],PlanTable[[#This Row],[I]])=0,"",INDEX(EquipmentInfo[PQ],PlanTable[[#This Row],[I]]))</f>
        <v/>
      </c>
      <c r="K134" s="2"/>
      <c r="L134" s="2"/>
      <c r="M134" s="2"/>
      <c r="N134" s="2"/>
      <c r="O134" s="2"/>
      <c r="P134" s="2"/>
      <c r="Q134" s="2"/>
      <c r="R134" s="2" t="s">
        <v>15</v>
      </c>
      <c r="S134" s="2"/>
      <c r="T134" s="2"/>
      <c r="U134" s="2"/>
      <c r="V134" s="2"/>
      <c r="W134" s="2" t="str">
        <f>IF(INDEX(EquipmentInfo[Thuê CQ],PlanTable[[#This Row],[I]])=0,"",INDEX(EquipmentInfo[Thuê CQ],PlanTable[[#This Row],[I]]))</f>
        <v>x</v>
      </c>
      <c r="X134" s="2" t="str">
        <f>INDEX(EquipmentInfo[Người phụ trách],PlanTable[[#This Row],[I]])</f>
        <v>Vân</v>
      </c>
      <c r="Y134" s="2"/>
      <c r="Z134" s="1"/>
    </row>
    <row r="135" spans="1:26" x14ac:dyDescent="0.25">
      <c r="A135" s="2">
        <v>130</v>
      </c>
      <c r="B135" s="2">
        <f>MATCH(PlanTable[[#This Row],[Mã thiết bị]],EquipmentInfo[Mã thiết bị],0)</f>
        <v>137</v>
      </c>
      <c r="C135" s="22" t="str">
        <f>INDEX(EquipmentInfo[Tên thiết bị],MATCH(PlanTable[[#This Row],[Mã thiết bị]],EquipmentInfo[Mã thiết bị],0))</f>
        <v>Chênh áp kế</v>
      </c>
      <c r="D135" s="2" t="s">
        <v>184</v>
      </c>
      <c r="E135" s="2" t="str">
        <f>IF(INDEX(EquipmentInfo[KĐ cân],PlanTable[[#This Row],[I]])=0,"",INDEX(EquipmentInfo[KĐ cân],PlanTable[[#This Row],[I]]))</f>
        <v/>
      </c>
      <c r="F135" s="2" t="str">
        <f>IF(INDEX(EquipmentInfo[KĐ áp kế],PlanTable[[#This Row],[I]])=0,"",INDEX(EquipmentInfo[KĐ áp kế],PlanTable[[#This Row],[I]]))</f>
        <v/>
      </c>
      <c r="G135" s="2" t="str">
        <f>IF(INDEX(EquipmentInfo[KĐ AT],PlanTable[[#This Row],[I]])=0,"",INDEX(EquipmentInfo[KĐ AT],PlanTable[[#This Row],[I]]))</f>
        <v/>
      </c>
      <c r="H135" s="2">
        <f>IF(INDEX(EquipmentInfo[HC],PlanTable[[#This Row],[I]])=0,"",INDEX(EquipmentInfo[HC],PlanTable[[#This Row],[I]]))</f>
        <v>12</v>
      </c>
      <c r="I135" s="2" t="str">
        <f>IF(INDEX(EquipmentInfo[BT],PlanTable[[#This Row],[I]])=0,"",INDEX(EquipmentInfo[BT],PlanTable[[#This Row],[I]]))</f>
        <v/>
      </c>
      <c r="J135" s="2" t="str">
        <f>IF(INDEX(EquipmentInfo[PQ],PlanTable[[#This Row],[I]])=0,"",INDEX(EquipmentInfo[PQ],PlanTable[[#This Row],[I]]))</f>
        <v/>
      </c>
      <c r="K135" s="2"/>
      <c r="L135" s="2"/>
      <c r="M135" s="2"/>
      <c r="N135" s="2"/>
      <c r="O135" s="2"/>
      <c r="P135" s="2"/>
      <c r="Q135" s="2"/>
      <c r="R135" s="2" t="s">
        <v>15</v>
      </c>
      <c r="S135" s="2"/>
      <c r="T135" s="2"/>
      <c r="U135" s="2"/>
      <c r="V135" s="2"/>
      <c r="W135" s="2" t="str">
        <f>IF(INDEX(EquipmentInfo[Thuê CQ],PlanTable[[#This Row],[I]])=0,"",INDEX(EquipmentInfo[Thuê CQ],PlanTable[[#This Row],[I]]))</f>
        <v>x</v>
      </c>
      <c r="X135" s="2" t="str">
        <f>INDEX(EquipmentInfo[Người phụ trách],PlanTable[[#This Row],[I]])</f>
        <v>Vân</v>
      </c>
      <c r="Y135" s="2"/>
      <c r="Z135" s="1"/>
    </row>
    <row r="136" spans="1:26" x14ac:dyDescent="0.25">
      <c r="A136" s="2">
        <v>131</v>
      </c>
      <c r="B136" s="2">
        <f>MATCH(PlanTable[[#This Row],[Mã thiết bị]],EquipmentInfo[Mã thiết bị],0)</f>
        <v>138</v>
      </c>
      <c r="C136" s="22" t="str">
        <f>INDEX(EquipmentInfo[Tên thiết bị],MATCH(PlanTable[[#This Row],[Mã thiết bị]],EquipmentInfo[Mã thiết bị],0))</f>
        <v>Chênh áp kế</v>
      </c>
      <c r="D136" s="2" t="s">
        <v>185</v>
      </c>
      <c r="E136" s="2" t="str">
        <f>IF(INDEX(EquipmentInfo[KĐ cân],PlanTable[[#This Row],[I]])=0,"",INDEX(EquipmentInfo[KĐ cân],PlanTable[[#This Row],[I]]))</f>
        <v/>
      </c>
      <c r="F136" s="2" t="str">
        <f>IF(INDEX(EquipmentInfo[KĐ áp kế],PlanTable[[#This Row],[I]])=0,"",INDEX(EquipmentInfo[KĐ áp kế],PlanTable[[#This Row],[I]]))</f>
        <v/>
      </c>
      <c r="G136" s="2" t="str">
        <f>IF(INDEX(EquipmentInfo[KĐ AT],PlanTable[[#This Row],[I]])=0,"",INDEX(EquipmentInfo[KĐ AT],PlanTable[[#This Row],[I]]))</f>
        <v/>
      </c>
      <c r="H136" s="2">
        <f>IF(INDEX(EquipmentInfo[HC],PlanTable[[#This Row],[I]])=0,"",INDEX(EquipmentInfo[HC],PlanTable[[#This Row],[I]]))</f>
        <v>12</v>
      </c>
      <c r="I136" s="2" t="str">
        <f>IF(INDEX(EquipmentInfo[BT],PlanTable[[#This Row],[I]])=0,"",INDEX(EquipmentInfo[BT],PlanTable[[#This Row],[I]]))</f>
        <v/>
      </c>
      <c r="J136" s="2" t="str">
        <f>IF(INDEX(EquipmentInfo[PQ],PlanTable[[#This Row],[I]])=0,"",INDEX(EquipmentInfo[PQ],PlanTable[[#This Row],[I]]))</f>
        <v/>
      </c>
      <c r="K136" s="2"/>
      <c r="L136" s="2"/>
      <c r="M136" s="2"/>
      <c r="N136" s="2"/>
      <c r="O136" s="2"/>
      <c r="P136" s="2"/>
      <c r="Q136" s="2"/>
      <c r="R136" s="2" t="s">
        <v>15</v>
      </c>
      <c r="S136" s="2"/>
      <c r="T136" s="2"/>
      <c r="U136" s="2"/>
      <c r="V136" s="2"/>
      <c r="W136" s="2" t="str">
        <f>IF(INDEX(EquipmentInfo[Thuê CQ],PlanTable[[#This Row],[I]])=0,"",INDEX(EquipmentInfo[Thuê CQ],PlanTable[[#This Row],[I]]))</f>
        <v>x</v>
      </c>
      <c r="X136" s="2" t="str">
        <f>INDEX(EquipmentInfo[Người phụ trách],PlanTable[[#This Row],[I]])</f>
        <v>Vân</v>
      </c>
      <c r="Y136" s="2"/>
      <c r="Z136" s="1"/>
    </row>
    <row r="137" spans="1:26" x14ac:dyDescent="0.25">
      <c r="A137" s="2">
        <v>132</v>
      </c>
      <c r="B137" s="2">
        <f>MATCH(PlanTable[[#This Row],[Mã thiết bị]],EquipmentInfo[Mã thiết bị],0)</f>
        <v>139</v>
      </c>
      <c r="C137" s="22" t="str">
        <f>INDEX(EquipmentInfo[Tên thiết bị],MATCH(PlanTable[[#This Row],[Mã thiết bị]],EquipmentInfo[Mã thiết bị],0))</f>
        <v>Datalogger testo Saveris 2-H1</v>
      </c>
      <c r="D137" s="2" t="s">
        <v>186</v>
      </c>
      <c r="E137" s="2" t="str">
        <f>IF(INDEX(EquipmentInfo[KĐ cân],PlanTable[[#This Row],[I]])=0,"",INDEX(EquipmentInfo[KĐ cân],PlanTable[[#This Row],[I]]))</f>
        <v/>
      </c>
      <c r="F137" s="2" t="str">
        <f>IF(INDEX(EquipmentInfo[KĐ áp kế],PlanTable[[#This Row],[I]])=0,"",INDEX(EquipmentInfo[KĐ áp kế],PlanTable[[#This Row],[I]]))</f>
        <v/>
      </c>
      <c r="G137" s="2" t="str">
        <f>IF(INDEX(EquipmentInfo[KĐ AT],PlanTable[[#This Row],[I]])=0,"",INDEX(EquipmentInfo[KĐ AT],PlanTable[[#This Row],[I]]))</f>
        <v/>
      </c>
      <c r="H137" s="2">
        <f>IF(INDEX(EquipmentInfo[HC],PlanTable[[#This Row],[I]])=0,"",INDEX(EquipmentInfo[HC],PlanTable[[#This Row],[I]]))</f>
        <v>12</v>
      </c>
      <c r="I137" s="2" t="str">
        <f>IF(INDEX(EquipmentInfo[BT],PlanTable[[#This Row],[I]])=0,"",INDEX(EquipmentInfo[BT],PlanTable[[#This Row],[I]]))</f>
        <v/>
      </c>
      <c r="J137" s="2" t="str">
        <f>IF(INDEX(EquipmentInfo[PQ],PlanTable[[#This Row],[I]])=0,"",INDEX(EquipmentInfo[PQ],PlanTable[[#This Row],[I]]))</f>
        <v/>
      </c>
      <c r="K137" s="2" t="s">
        <v>15</v>
      </c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 t="str">
        <f>IF(INDEX(EquipmentInfo[Thuê CQ],PlanTable[[#This Row],[I]])=0,"",INDEX(EquipmentInfo[Thuê CQ],PlanTable[[#This Row],[I]]))</f>
        <v>x</v>
      </c>
      <c r="X137" s="2" t="str">
        <f>INDEX(EquipmentInfo[Người phụ trách],PlanTable[[#This Row],[I]])</f>
        <v>Tuấn</v>
      </c>
      <c r="Y137" s="2"/>
      <c r="Z137" s="1"/>
    </row>
    <row r="138" spans="1:26" x14ac:dyDescent="0.25">
      <c r="A138" s="2">
        <v>133</v>
      </c>
      <c r="B138" s="2">
        <f>MATCH(PlanTable[[#This Row],[Mã thiết bị]],EquipmentInfo[Mã thiết bị],0)</f>
        <v>140</v>
      </c>
      <c r="C138" s="22" t="str">
        <f>INDEX(EquipmentInfo[Tên thiết bị],MATCH(PlanTable[[#This Row],[Mã thiết bị]],EquipmentInfo[Mã thiết bị],0))</f>
        <v>Datalogger testo Saveris 2-H1</v>
      </c>
      <c r="D138" s="2" t="s">
        <v>187</v>
      </c>
      <c r="E138" s="2" t="str">
        <f>IF(INDEX(EquipmentInfo[KĐ cân],PlanTable[[#This Row],[I]])=0,"",INDEX(EquipmentInfo[KĐ cân],PlanTable[[#This Row],[I]]))</f>
        <v/>
      </c>
      <c r="F138" s="2" t="str">
        <f>IF(INDEX(EquipmentInfo[KĐ áp kế],PlanTable[[#This Row],[I]])=0,"",INDEX(EquipmentInfo[KĐ áp kế],PlanTable[[#This Row],[I]]))</f>
        <v/>
      </c>
      <c r="G138" s="2" t="str">
        <f>IF(INDEX(EquipmentInfo[KĐ AT],PlanTable[[#This Row],[I]])=0,"",INDEX(EquipmentInfo[KĐ AT],PlanTable[[#This Row],[I]]))</f>
        <v/>
      </c>
      <c r="H138" s="2">
        <f>IF(INDEX(EquipmentInfo[HC],PlanTable[[#This Row],[I]])=0,"",INDEX(EquipmentInfo[HC],PlanTable[[#This Row],[I]]))</f>
        <v>12</v>
      </c>
      <c r="I138" s="2" t="str">
        <f>IF(INDEX(EquipmentInfo[BT],PlanTable[[#This Row],[I]])=0,"",INDEX(EquipmentInfo[BT],PlanTable[[#This Row],[I]]))</f>
        <v/>
      </c>
      <c r="J138" s="2" t="str">
        <f>IF(INDEX(EquipmentInfo[PQ],PlanTable[[#This Row],[I]])=0,"",INDEX(EquipmentInfo[PQ],PlanTable[[#This Row],[I]]))</f>
        <v/>
      </c>
      <c r="K138" s="2" t="s">
        <v>15</v>
      </c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 t="str">
        <f>IF(INDEX(EquipmentInfo[Thuê CQ],PlanTable[[#This Row],[I]])=0,"",INDEX(EquipmentInfo[Thuê CQ],PlanTable[[#This Row],[I]]))</f>
        <v>x</v>
      </c>
      <c r="X138" s="2" t="str">
        <f>INDEX(EquipmentInfo[Người phụ trách],PlanTable[[#This Row],[I]])</f>
        <v>Tuấn</v>
      </c>
      <c r="Y138" s="2"/>
      <c r="Z138" s="1"/>
    </row>
    <row r="139" spans="1:26" x14ac:dyDescent="0.25">
      <c r="A139" s="2">
        <v>134</v>
      </c>
      <c r="B139" s="2">
        <f>MATCH(PlanTable[[#This Row],[Mã thiết bị]],EquipmentInfo[Mã thiết bị],0)</f>
        <v>141</v>
      </c>
      <c r="C139" s="22" t="str">
        <f>INDEX(EquipmentInfo[Tên thiết bị],MATCH(PlanTable[[#This Row],[Mã thiết bị]],EquipmentInfo[Mã thiết bị],0))</f>
        <v>Datalogger testo Saveris 2-T2</v>
      </c>
      <c r="D139" s="2" t="s">
        <v>188</v>
      </c>
      <c r="E139" s="2" t="str">
        <f>IF(INDEX(EquipmentInfo[KĐ cân],PlanTable[[#This Row],[I]])=0,"",INDEX(EquipmentInfo[KĐ cân],PlanTable[[#This Row],[I]]))</f>
        <v/>
      </c>
      <c r="F139" s="2" t="str">
        <f>IF(INDEX(EquipmentInfo[KĐ áp kế],PlanTable[[#This Row],[I]])=0,"",INDEX(EquipmentInfo[KĐ áp kế],PlanTable[[#This Row],[I]]))</f>
        <v/>
      </c>
      <c r="G139" s="2" t="str">
        <f>IF(INDEX(EquipmentInfo[KĐ AT],PlanTable[[#This Row],[I]])=0,"",INDEX(EquipmentInfo[KĐ AT],PlanTable[[#This Row],[I]]))</f>
        <v/>
      </c>
      <c r="H139" s="2">
        <f>IF(INDEX(EquipmentInfo[HC],PlanTable[[#This Row],[I]])=0,"",INDEX(EquipmentInfo[HC],PlanTable[[#This Row],[I]]))</f>
        <v>12</v>
      </c>
      <c r="I139" s="2" t="str">
        <f>IF(INDEX(EquipmentInfo[BT],PlanTable[[#This Row],[I]])=0,"",INDEX(EquipmentInfo[BT],PlanTable[[#This Row],[I]]))</f>
        <v/>
      </c>
      <c r="J139" s="2" t="str">
        <f>IF(INDEX(EquipmentInfo[PQ],PlanTable[[#This Row],[I]])=0,"",INDEX(EquipmentInfo[PQ],PlanTable[[#This Row],[I]]))</f>
        <v/>
      </c>
      <c r="K139" s="2" t="s">
        <v>15</v>
      </c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 t="str">
        <f>IF(INDEX(EquipmentInfo[Thuê CQ],PlanTable[[#This Row],[I]])=0,"",INDEX(EquipmentInfo[Thuê CQ],PlanTable[[#This Row],[I]]))</f>
        <v>x</v>
      </c>
      <c r="X139" s="2" t="str">
        <f>INDEX(EquipmentInfo[Người phụ trách],PlanTable[[#This Row],[I]])</f>
        <v>Tuấn</v>
      </c>
      <c r="Y139" s="2"/>
      <c r="Z139" s="1"/>
    </row>
    <row r="140" spans="1:26" x14ac:dyDescent="0.25">
      <c r="A140" s="2">
        <v>135</v>
      </c>
      <c r="B140" s="2">
        <f>MATCH(PlanTable[[#This Row],[Mã thiết bị]],EquipmentInfo[Mã thiết bị],0)</f>
        <v>142</v>
      </c>
      <c r="C140" s="22" t="str">
        <f>INDEX(EquipmentInfo[Tên thiết bị],MATCH(PlanTable[[#This Row],[Mã thiết bị]],EquipmentInfo[Mã thiết bị],0))</f>
        <v>Datalogger testo Saveris 2-T2</v>
      </c>
      <c r="D140" s="2" t="s">
        <v>189</v>
      </c>
      <c r="E140" s="2" t="str">
        <f>IF(INDEX(EquipmentInfo[KĐ cân],PlanTable[[#This Row],[I]])=0,"",INDEX(EquipmentInfo[KĐ cân],PlanTable[[#This Row],[I]]))</f>
        <v/>
      </c>
      <c r="F140" s="2" t="str">
        <f>IF(INDEX(EquipmentInfo[KĐ áp kế],PlanTable[[#This Row],[I]])=0,"",INDEX(EquipmentInfo[KĐ áp kế],PlanTable[[#This Row],[I]]))</f>
        <v/>
      </c>
      <c r="G140" s="2" t="str">
        <f>IF(INDEX(EquipmentInfo[KĐ AT],PlanTable[[#This Row],[I]])=0,"",INDEX(EquipmentInfo[KĐ AT],PlanTable[[#This Row],[I]]))</f>
        <v/>
      </c>
      <c r="H140" s="2">
        <f>IF(INDEX(EquipmentInfo[HC],PlanTable[[#This Row],[I]])=0,"",INDEX(EquipmentInfo[HC],PlanTable[[#This Row],[I]]))</f>
        <v>12</v>
      </c>
      <c r="I140" s="2" t="str">
        <f>IF(INDEX(EquipmentInfo[BT],PlanTable[[#This Row],[I]])=0,"",INDEX(EquipmentInfo[BT],PlanTable[[#This Row],[I]]))</f>
        <v/>
      </c>
      <c r="J140" s="2" t="str">
        <f>IF(INDEX(EquipmentInfo[PQ],PlanTable[[#This Row],[I]])=0,"",INDEX(EquipmentInfo[PQ],PlanTable[[#This Row],[I]]))</f>
        <v/>
      </c>
      <c r="K140" s="2" t="s">
        <v>15</v>
      </c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 t="str">
        <f>IF(INDEX(EquipmentInfo[Thuê CQ],PlanTable[[#This Row],[I]])=0,"",INDEX(EquipmentInfo[Thuê CQ],PlanTable[[#This Row],[I]]))</f>
        <v>x</v>
      </c>
      <c r="X140" s="2" t="str">
        <f>INDEX(EquipmentInfo[Người phụ trách],PlanTable[[#This Row],[I]])</f>
        <v>Tuấn</v>
      </c>
      <c r="Y140" s="2"/>
      <c r="Z140" s="1"/>
    </row>
    <row r="141" spans="1:26" x14ac:dyDescent="0.25">
      <c r="A141" s="2">
        <v>136</v>
      </c>
      <c r="B141" s="2">
        <f>MATCH(PlanTable[[#This Row],[Mã thiết bị]],EquipmentInfo[Mã thiết bị],0)</f>
        <v>143</v>
      </c>
      <c r="C141" s="22" t="str">
        <f>INDEX(EquipmentInfo[Tên thiết bị],MATCH(PlanTable[[#This Row],[Mã thiết bị]],EquipmentInfo[Mã thiết bị],0))</f>
        <v>Datalogger testo Saveris 2-T2</v>
      </c>
      <c r="D141" s="2" t="s">
        <v>190</v>
      </c>
      <c r="E141" s="2" t="str">
        <f>IF(INDEX(EquipmentInfo[KĐ cân],PlanTable[[#This Row],[I]])=0,"",INDEX(EquipmentInfo[KĐ cân],PlanTable[[#This Row],[I]]))</f>
        <v/>
      </c>
      <c r="F141" s="2" t="str">
        <f>IF(INDEX(EquipmentInfo[KĐ áp kế],PlanTable[[#This Row],[I]])=0,"",INDEX(EquipmentInfo[KĐ áp kế],PlanTable[[#This Row],[I]]))</f>
        <v/>
      </c>
      <c r="G141" s="2" t="str">
        <f>IF(INDEX(EquipmentInfo[KĐ AT],PlanTable[[#This Row],[I]])=0,"",INDEX(EquipmentInfo[KĐ AT],PlanTable[[#This Row],[I]]))</f>
        <v/>
      </c>
      <c r="H141" s="2">
        <f>IF(INDEX(EquipmentInfo[HC],PlanTable[[#This Row],[I]])=0,"",INDEX(EquipmentInfo[HC],PlanTable[[#This Row],[I]]))</f>
        <v>12</v>
      </c>
      <c r="I141" s="2" t="str">
        <f>IF(INDEX(EquipmentInfo[BT],PlanTable[[#This Row],[I]])=0,"",INDEX(EquipmentInfo[BT],PlanTable[[#This Row],[I]]))</f>
        <v/>
      </c>
      <c r="J141" s="2" t="str">
        <f>IF(INDEX(EquipmentInfo[PQ],PlanTable[[#This Row],[I]])=0,"",INDEX(EquipmentInfo[PQ],PlanTable[[#This Row],[I]]))</f>
        <v/>
      </c>
      <c r="K141" s="2" t="s">
        <v>15</v>
      </c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 t="str">
        <f>IF(INDEX(EquipmentInfo[Thuê CQ],PlanTable[[#This Row],[I]])=0,"",INDEX(EquipmentInfo[Thuê CQ],PlanTable[[#This Row],[I]]))</f>
        <v>x</v>
      </c>
      <c r="X141" s="2" t="str">
        <f>INDEX(EquipmentInfo[Người phụ trách],PlanTable[[#This Row],[I]])</f>
        <v>Tuấn</v>
      </c>
      <c r="Y141" s="2"/>
      <c r="Z141" s="1"/>
    </row>
    <row r="142" spans="1:26" x14ac:dyDescent="0.25">
      <c r="A142" s="2">
        <v>137</v>
      </c>
      <c r="B142" s="2">
        <f>MATCH(PlanTable[[#This Row],[Mã thiết bị]],EquipmentInfo[Mã thiết bị],0)</f>
        <v>144</v>
      </c>
      <c r="C142" s="22" t="str">
        <f>INDEX(EquipmentInfo[Tên thiết bị],MATCH(PlanTable[[#This Row],[Mã thiết bị]],EquipmentInfo[Mã thiết bị],0))</f>
        <v>Datalogger testo Saveris 2-T2</v>
      </c>
      <c r="D142" s="2" t="s">
        <v>191</v>
      </c>
      <c r="E142" s="2" t="str">
        <f>IF(INDEX(EquipmentInfo[KĐ cân],PlanTable[[#This Row],[I]])=0,"",INDEX(EquipmentInfo[KĐ cân],PlanTable[[#This Row],[I]]))</f>
        <v/>
      </c>
      <c r="F142" s="2" t="str">
        <f>IF(INDEX(EquipmentInfo[KĐ áp kế],PlanTable[[#This Row],[I]])=0,"",INDEX(EquipmentInfo[KĐ áp kế],PlanTable[[#This Row],[I]]))</f>
        <v/>
      </c>
      <c r="G142" s="2" t="str">
        <f>IF(INDEX(EquipmentInfo[KĐ AT],PlanTable[[#This Row],[I]])=0,"",INDEX(EquipmentInfo[KĐ AT],PlanTable[[#This Row],[I]]))</f>
        <v/>
      </c>
      <c r="H142" s="2">
        <f>IF(INDEX(EquipmentInfo[HC],PlanTable[[#This Row],[I]])=0,"",INDEX(EquipmentInfo[HC],PlanTable[[#This Row],[I]]))</f>
        <v>12</v>
      </c>
      <c r="I142" s="2" t="str">
        <f>IF(INDEX(EquipmentInfo[BT],PlanTable[[#This Row],[I]])=0,"",INDEX(EquipmentInfo[BT],PlanTable[[#This Row],[I]]))</f>
        <v/>
      </c>
      <c r="J142" s="2" t="str">
        <f>IF(INDEX(EquipmentInfo[PQ],PlanTable[[#This Row],[I]])=0,"",INDEX(EquipmentInfo[PQ],PlanTable[[#This Row],[I]]))</f>
        <v/>
      </c>
      <c r="K142" s="2" t="s">
        <v>15</v>
      </c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 t="str">
        <f>IF(INDEX(EquipmentInfo[Thuê CQ],PlanTable[[#This Row],[I]])=0,"",INDEX(EquipmentInfo[Thuê CQ],PlanTable[[#This Row],[I]]))</f>
        <v>x</v>
      </c>
      <c r="X142" s="2" t="str">
        <f>INDEX(EquipmentInfo[Người phụ trách],PlanTable[[#This Row],[I]])</f>
        <v>Tuấn</v>
      </c>
      <c r="Y142" s="2"/>
      <c r="Z142" s="1"/>
    </row>
    <row r="143" spans="1:26" x14ac:dyDescent="0.25">
      <c r="A143" s="2">
        <v>138</v>
      </c>
      <c r="B143" s="2">
        <f>MATCH(PlanTable[[#This Row],[Mã thiết bị]],EquipmentInfo[Mã thiết bị],0)</f>
        <v>145</v>
      </c>
      <c r="C143" s="22" t="str">
        <f>INDEX(EquipmentInfo[Tên thiết bị],MATCH(PlanTable[[#This Row],[Mã thiết bị]],EquipmentInfo[Mã thiết bị],0))</f>
        <v>Datalogger testo Saveris 2-T2</v>
      </c>
      <c r="D143" s="2" t="s">
        <v>192</v>
      </c>
      <c r="E143" s="2" t="str">
        <f>IF(INDEX(EquipmentInfo[KĐ cân],PlanTable[[#This Row],[I]])=0,"",INDEX(EquipmentInfo[KĐ cân],PlanTable[[#This Row],[I]]))</f>
        <v/>
      </c>
      <c r="F143" s="2" t="str">
        <f>IF(INDEX(EquipmentInfo[KĐ áp kế],PlanTable[[#This Row],[I]])=0,"",INDEX(EquipmentInfo[KĐ áp kế],PlanTable[[#This Row],[I]]))</f>
        <v/>
      </c>
      <c r="G143" s="2" t="str">
        <f>IF(INDEX(EquipmentInfo[KĐ AT],PlanTable[[#This Row],[I]])=0,"",INDEX(EquipmentInfo[KĐ AT],PlanTable[[#This Row],[I]]))</f>
        <v/>
      </c>
      <c r="H143" s="2">
        <f>IF(INDEX(EquipmentInfo[HC],PlanTable[[#This Row],[I]])=0,"",INDEX(EquipmentInfo[HC],PlanTable[[#This Row],[I]]))</f>
        <v>12</v>
      </c>
      <c r="I143" s="2" t="str">
        <f>IF(INDEX(EquipmentInfo[BT],PlanTable[[#This Row],[I]])=0,"",INDEX(EquipmentInfo[BT],PlanTable[[#This Row],[I]]))</f>
        <v/>
      </c>
      <c r="J143" s="2" t="str">
        <f>IF(INDEX(EquipmentInfo[PQ],PlanTable[[#This Row],[I]])=0,"",INDEX(EquipmentInfo[PQ],PlanTable[[#This Row],[I]]))</f>
        <v/>
      </c>
      <c r="K143" s="2" t="s">
        <v>15</v>
      </c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 t="str">
        <f>IF(INDEX(EquipmentInfo[Thuê CQ],PlanTable[[#This Row],[I]])=0,"",INDEX(EquipmentInfo[Thuê CQ],PlanTable[[#This Row],[I]]))</f>
        <v>x</v>
      </c>
      <c r="X143" s="2" t="str">
        <f>INDEX(EquipmentInfo[Người phụ trách],PlanTable[[#This Row],[I]])</f>
        <v>Tuấn</v>
      </c>
      <c r="Y143" s="2"/>
      <c r="Z143" s="1"/>
    </row>
    <row r="144" spans="1:26" x14ac:dyDescent="0.25">
      <c r="A144" s="2">
        <v>139</v>
      </c>
      <c r="B144" s="2">
        <f>MATCH(PlanTable[[#This Row],[Mã thiết bị]],EquipmentInfo[Mã thiết bị],0)</f>
        <v>146</v>
      </c>
      <c r="C144" s="22" t="str">
        <f>INDEX(EquipmentInfo[Tên thiết bị],MATCH(PlanTable[[#This Row],[Mã thiết bị]],EquipmentInfo[Mã thiết bị],0))</f>
        <v>Sensor NTC dẹt</v>
      </c>
      <c r="D144" s="2" t="s">
        <v>193</v>
      </c>
      <c r="E144" s="2" t="str">
        <f>IF(INDEX(EquipmentInfo[KĐ cân],PlanTable[[#This Row],[I]])=0,"",INDEX(EquipmentInfo[KĐ cân],PlanTable[[#This Row],[I]]))</f>
        <v/>
      </c>
      <c r="F144" s="2" t="str">
        <f>IF(INDEX(EquipmentInfo[KĐ áp kế],PlanTable[[#This Row],[I]])=0,"",INDEX(EquipmentInfo[KĐ áp kế],PlanTable[[#This Row],[I]]))</f>
        <v/>
      </c>
      <c r="G144" s="2" t="str">
        <f>IF(INDEX(EquipmentInfo[KĐ AT],PlanTable[[#This Row],[I]])=0,"",INDEX(EquipmentInfo[KĐ AT],PlanTable[[#This Row],[I]]))</f>
        <v/>
      </c>
      <c r="H144" s="2">
        <f>IF(INDEX(EquipmentInfo[HC],PlanTable[[#This Row],[I]])=0,"",INDEX(EquipmentInfo[HC],PlanTable[[#This Row],[I]]))</f>
        <v>12</v>
      </c>
      <c r="I144" s="2" t="str">
        <f>IF(INDEX(EquipmentInfo[BT],PlanTable[[#This Row],[I]])=0,"",INDEX(EquipmentInfo[BT],PlanTable[[#This Row],[I]]))</f>
        <v/>
      </c>
      <c r="J144" s="2" t="str">
        <f>IF(INDEX(EquipmentInfo[PQ],PlanTable[[#This Row],[I]])=0,"",INDEX(EquipmentInfo[PQ],PlanTable[[#This Row],[I]]))</f>
        <v/>
      </c>
      <c r="K144" s="2" t="s">
        <v>15</v>
      </c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 t="str">
        <f>IF(INDEX(EquipmentInfo[Thuê CQ],PlanTable[[#This Row],[I]])=0,"",INDEX(EquipmentInfo[Thuê CQ],PlanTable[[#This Row],[I]]))</f>
        <v>x</v>
      </c>
      <c r="X144" s="2" t="str">
        <f>INDEX(EquipmentInfo[Người phụ trách],PlanTable[[#This Row],[I]])</f>
        <v>Tuấn</v>
      </c>
      <c r="Y144" s="2"/>
      <c r="Z144" s="1"/>
    </row>
    <row r="145" spans="1:26" x14ac:dyDescent="0.25">
      <c r="A145" s="2">
        <v>140</v>
      </c>
      <c r="B145" s="2">
        <f>MATCH(PlanTable[[#This Row],[Mã thiết bị]],EquipmentInfo[Mã thiết bị],0)</f>
        <v>147</v>
      </c>
      <c r="C145" s="22" t="str">
        <f>INDEX(EquipmentInfo[Tên thiết bị],MATCH(PlanTable[[#This Row],[Mã thiết bị]],EquipmentInfo[Mã thiết bị],0))</f>
        <v>Sensor NTC dẹt</v>
      </c>
      <c r="D145" s="2" t="s">
        <v>194</v>
      </c>
      <c r="E145" s="2" t="str">
        <f>IF(INDEX(EquipmentInfo[KĐ cân],PlanTable[[#This Row],[I]])=0,"",INDEX(EquipmentInfo[KĐ cân],PlanTable[[#This Row],[I]]))</f>
        <v/>
      </c>
      <c r="F145" s="2" t="str">
        <f>IF(INDEX(EquipmentInfo[KĐ áp kế],PlanTable[[#This Row],[I]])=0,"",INDEX(EquipmentInfo[KĐ áp kế],PlanTable[[#This Row],[I]]))</f>
        <v/>
      </c>
      <c r="G145" s="2" t="str">
        <f>IF(INDEX(EquipmentInfo[KĐ AT],PlanTable[[#This Row],[I]])=0,"",INDEX(EquipmentInfo[KĐ AT],PlanTable[[#This Row],[I]]))</f>
        <v/>
      </c>
      <c r="H145" s="2">
        <f>IF(INDEX(EquipmentInfo[HC],PlanTable[[#This Row],[I]])=0,"",INDEX(EquipmentInfo[HC],PlanTable[[#This Row],[I]]))</f>
        <v>12</v>
      </c>
      <c r="I145" s="2" t="str">
        <f>IF(INDEX(EquipmentInfo[BT],PlanTable[[#This Row],[I]])=0,"",INDEX(EquipmentInfo[BT],PlanTable[[#This Row],[I]]))</f>
        <v/>
      </c>
      <c r="J145" s="2" t="str">
        <f>IF(INDEX(EquipmentInfo[PQ],PlanTable[[#This Row],[I]])=0,"",INDEX(EquipmentInfo[PQ],PlanTable[[#This Row],[I]]))</f>
        <v/>
      </c>
      <c r="K145" s="2" t="s">
        <v>15</v>
      </c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 t="str">
        <f>IF(INDEX(EquipmentInfo[Thuê CQ],PlanTable[[#This Row],[I]])=0,"",INDEX(EquipmentInfo[Thuê CQ],PlanTable[[#This Row],[I]]))</f>
        <v>x</v>
      </c>
      <c r="X145" s="2" t="str">
        <f>INDEX(EquipmentInfo[Người phụ trách],PlanTable[[#This Row],[I]])</f>
        <v>Tuấn</v>
      </c>
      <c r="Y145" s="2"/>
      <c r="Z145" s="1"/>
    </row>
    <row r="146" spans="1:26" x14ac:dyDescent="0.25">
      <c r="A146" s="2">
        <v>141</v>
      </c>
      <c r="B146" s="2">
        <f>MATCH(PlanTable[[#This Row],[Mã thiết bị]],EquipmentInfo[Mã thiết bị],0)</f>
        <v>148</v>
      </c>
      <c r="C146" s="22" t="str">
        <f>INDEX(EquipmentInfo[Tên thiết bị],MATCH(PlanTable[[#This Row],[Mã thiết bị]],EquipmentInfo[Mã thiết bị],0))</f>
        <v>Sensor NTC dẹt</v>
      </c>
      <c r="D146" s="2" t="s">
        <v>195</v>
      </c>
      <c r="E146" s="2" t="str">
        <f>IF(INDEX(EquipmentInfo[KĐ cân],PlanTable[[#This Row],[I]])=0,"",INDEX(EquipmentInfo[KĐ cân],PlanTable[[#This Row],[I]]))</f>
        <v/>
      </c>
      <c r="F146" s="2" t="str">
        <f>IF(INDEX(EquipmentInfo[KĐ áp kế],PlanTable[[#This Row],[I]])=0,"",INDEX(EquipmentInfo[KĐ áp kế],PlanTable[[#This Row],[I]]))</f>
        <v/>
      </c>
      <c r="G146" s="2" t="str">
        <f>IF(INDEX(EquipmentInfo[KĐ AT],PlanTable[[#This Row],[I]])=0,"",INDEX(EquipmentInfo[KĐ AT],PlanTable[[#This Row],[I]]))</f>
        <v/>
      </c>
      <c r="H146" s="2">
        <f>IF(INDEX(EquipmentInfo[HC],PlanTable[[#This Row],[I]])=0,"",INDEX(EquipmentInfo[HC],PlanTable[[#This Row],[I]]))</f>
        <v>12</v>
      </c>
      <c r="I146" s="2" t="str">
        <f>IF(INDEX(EquipmentInfo[BT],PlanTable[[#This Row],[I]])=0,"",INDEX(EquipmentInfo[BT],PlanTable[[#This Row],[I]]))</f>
        <v/>
      </c>
      <c r="J146" s="2" t="str">
        <f>IF(INDEX(EquipmentInfo[PQ],PlanTable[[#This Row],[I]])=0,"",INDEX(EquipmentInfo[PQ],PlanTable[[#This Row],[I]]))</f>
        <v/>
      </c>
      <c r="K146" s="2" t="s">
        <v>15</v>
      </c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 t="str">
        <f>IF(INDEX(EquipmentInfo[Thuê CQ],PlanTable[[#This Row],[I]])=0,"",INDEX(EquipmentInfo[Thuê CQ],PlanTable[[#This Row],[I]]))</f>
        <v>x</v>
      </c>
      <c r="X146" s="2" t="str">
        <f>INDEX(EquipmentInfo[Người phụ trách],PlanTable[[#This Row],[I]])</f>
        <v>Tuấn</v>
      </c>
      <c r="Y146" s="2"/>
      <c r="Z146" s="1"/>
    </row>
    <row r="147" spans="1:26" x14ac:dyDescent="0.25">
      <c r="A147" s="2">
        <v>142</v>
      </c>
      <c r="B147" s="2">
        <f>MATCH(PlanTable[[#This Row],[Mã thiết bị]],EquipmentInfo[Mã thiết bị],0)</f>
        <v>149</v>
      </c>
      <c r="C147" s="22" t="str">
        <f>INDEX(EquipmentInfo[Tên thiết bị],MATCH(PlanTable[[#This Row],[Mã thiết bị]],EquipmentInfo[Mã thiết bị],0))</f>
        <v>Sensor NTC dẹt</v>
      </c>
      <c r="D147" s="2" t="s">
        <v>196</v>
      </c>
      <c r="E147" s="2" t="str">
        <f>IF(INDEX(EquipmentInfo[KĐ cân],PlanTable[[#This Row],[I]])=0,"",INDEX(EquipmentInfo[KĐ cân],PlanTable[[#This Row],[I]]))</f>
        <v/>
      </c>
      <c r="F147" s="2" t="str">
        <f>IF(INDEX(EquipmentInfo[KĐ áp kế],PlanTable[[#This Row],[I]])=0,"",INDEX(EquipmentInfo[KĐ áp kế],PlanTable[[#This Row],[I]]))</f>
        <v/>
      </c>
      <c r="G147" s="2" t="str">
        <f>IF(INDEX(EquipmentInfo[KĐ AT],PlanTable[[#This Row],[I]])=0,"",INDEX(EquipmentInfo[KĐ AT],PlanTable[[#This Row],[I]]))</f>
        <v/>
      </c>
      <c r="H147" s="2">
        <f>IF(INDEX(EquipmentInfo[HC],PlanTable[[#This Row],[I]])=0,"",INDEX(EquipmentInfo[HC],PlanTable[[#This Row],[I]]))</f>
        <v>12</v>
      </c>
      <c r="I147" s="2" t="str">
        <f>IF(INDEX(EquipmentInfo[BT],PlanTable[[#This Row],[I]])=0,"",INDEX(EquipmentInfo[BT],PlanTable[[#This Row],[I]]))</f>
        <v/>
      </c>
      <c r="J147" s="2" t="str">
        <f>IF(INDEX(EquipmentInfo[PQ],PlanTable[[#This Row],[I]])=0,"",INDEX(EquipmentInfo[PQ],PlanTable[[#This Row],[I]]))</f>
        <v/>
      </c>
      <c r="K147" s="2" t="s">
        <v>15</v>
      </c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 t="str">
        <f>IF(INDEX(EquipmentInfo[Thuê CQ],PlanTable[[#This Row],[I]])=0,"",INDEX(EquipmentInfo[Thuê CQ],PlanTable[[#This Row],[I]]))</f>
        <v>x</v>
      </c>
      <c r="X147" s="2" t="str">
        <f>INDEX(EquipmentInfo[Người phụ trách],PlanTable[[#This Row],[I]])</f>
        <v>Tuấn</v>
      </c>
      <c r="Y147" s="2"/>
      <c r="Z147" s="1"/>
    </row>
    <row r="148" spans="1:26" x14ac:dyDescent="0.25">
      <c r="A148" s="2">
        <v>143</v>
      </c>
      <c r="B148" s="2">
        <f>MATCH(PlanTable[[#This Row],[Mã thiết bị]],EquipmentInfo[Mã thiết bị],0)</f>
        <v>150</v>
      </c>
      <c r="C148" s="22" t="str">
        <f>INDEX(EquipmentInfo[Tên thiết bị],MATCH(PlanTable[[#This Row],[Mã thiết bị]],EquipmentInfo[Mã thiết bị],0))</f>
        <v>Sensor NTC dẹt</v>
      </c>
      <c r="D148" s="2" t="s">
        <v>197</v>
      </c>
      <c r="E148" s="2" t="str">
        <f>IF(INDEX(EquipmentInfo[KĐ cân],PlanTable[[#This Row],[I]])=0,"",INDEX(EquipmentInfo[KĐ cân],PlanTable[[#This Row],[I]]))</f>
        <v/>
      </c>
      <c r="F148" s="2" t="str">
        <f>IF(INDEX(EquipmentInfo[KĐ áp kế],PlanTable[[#This Row],[I]])=0,"",INDEX(EquipmentInfo[KĐ áp kế],PlanTable[[#This Row],[I]]))</f>
        <v/>
      </c>
      <c r="G148" s="2" t="str">
        <f>IF(INDEX(EquipmentInfo[KĐ AT],PlanTable[[#This Row],[I]])=0,"",INDEX(EquipmentInfo[KĐ AT],PlanTable[[#This Row],[I]]))</f>
        <v/>
      </c>
      <c r="H148" s="2">
        <f>IF(INDEX(EquipmentInfo[HC],PlanTable[[#This Row],[I]])=0,"",INDEX(EquipmentInfo[HC],PlanTable[[#This Row],[I]]))</f>
        <v>12</v>
      </c>
      <c r="I148" s="2" t="str">
        <f>IF(INDEX(EquipmentInfo[BT],PlanTable[[#This Row],[I]])=0,"",INDEX(EquipmentInfo[BT],PlanTable[[#This Row],[I]]))</f>
        <v/>
      </c>
      <c r="J148" s="2" t="str">
        <f>IF(INDEX(EquipmentInfo[PQ],PlanTable[[#This Row],[I]])=0,"",INDEX(EquipmentInfo[PQ],PlanTable[[#This Row],[I]]))</f>
        <v/>
      </c>
      <c r="K148" s="2" t="s">
        <v>15</v>
      </c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 t="str">
        <f>IF(INDEX(EquipmentInfo[Thuê CQ],PlanTable[[#This Row],[I]])=0,"",INDEX(EquipmentInfo[Thuê CQ],PlanTable[[#This Row],[I]]))</f>
        <v>x</v>
      </c>
      <c r="X148" s="2" t="str">
        <f>INDEX(EquipmentInfo[Người phụ trách],PlanTable[[#This Row],[I]])</f>
        <v>Tuấn</v>
      </c>
      <c r="Y148" s="2"/>
      <c r="Z148" s="1"/>
    </row>
    <row r="149" spans="1:26" x14ac:dyDescent="0.25">
      <c r="A149" s="2">
        <v>144</v>
      </c>
      <c r="B149" s="2">
        <f>MATCH(PlanTable[[#This Row],[Mã thiết bị]],EquipmentInfo[Mã thiết bị],0)</f>
        <v>151</v>
      </c>
      <c r="C149" s="22" t="str">
        <f>INDEX(EquipmentInfo[Tên thiết bị],MATCH(PlanTable[[#This Row],[Mã thiết bị]],EquipmentInfo[Mã thiết bị],0))</f>
        <v>Sensor NTC dẹt</v>
      </c>
      <c r="D149" s="2" t="s">
        <v>198</v>
      </c>
      <c r="E149" s="2" t="str">
        <f>IF(INDEX(EquipmentInfo[KĐ cân],PlanTable[[#This Row],[I]])=0,"",INDEX(EquipmentInfo[KĐ cân],PlanTable[[#This Row],[I]]))</f>
        <v/>
      </c>
      <c r="F149" s="2" t="str">
        <f>IF(INDEX(EquipmentInfo[KĐ áp kế],PlanTable[[#This Row],[I]])=0,"",INDEX(EquipmentInfo[KĐ áp kế],PlanTable[[#This Row],[I]]))</f>
        <v/>
      </c>
      <c r="G149" s="2" t="str">
        <f>IF(INDEX(EquipmentInfo[KĐ AT],PlanTable[[#This Row],[I]])=0,"",INDEX(EquipmentInfo[KĐ AT],PlanTable[[#This Row],[I]]))</f>
        <v/>
      </c>
      <c r="H149" s="2">
        <f>IF(INDEX(EquipmentInfo[HC],PlanTable[[#This Row],[I]])=0,"",INDEX(EquipmentInfo[HC],PlanTable[[#This Row],[I]]))</f>
        <v>12</v>
      </c>
      <c r="I149" s="2" t="str">
        <f>IF(INDEX(EquipmentInfo[BT],PlanTable[[#This Row],[I]])=0,"",INDEX(EquipmentInfo[BT],PlanTable[[#This Row],[I]]))</f>
        <v/>
      </c>
      <c r="J149" s="2" t="str">
        <f>IF(INDEX(EquipmentInfo[PQ],PlanTable[[#This Row],[I]])=0,"",INDEX(EquipmentInfo[PQ],PlanTable[[#This Row],[I]]))</f>
        <v/>
      </c>
      <c r="K149" s="2" t="s">
        <v>15</v>
      </c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 t="str">
        <f>IF(INDEX(EquipmentInfo[Thuê CQ],PlanTable[[#This Row],[I]])=0,"",INDEX(EquipmentInfo[Thuê CQ],PlanTable[[#This Row],[I]]))</f>
        <v>x</v>
      </c>
      <c r="X149" s="2" t="str">
        <f>INDEX(EquipmentInfo[Người phụ trách],PlanTable[[#This Row],[I]])</f>
        <v>Tuấn</v>
      </c>
      <c r="Y149" s="2"/>
      <c r="Z149" s="1"/>
    </row>
    <row r="150" spans="1:26" x14ac:dyDescent="0.25">
      <c r="A150" s="2">
        <v>145</v>
      </c>
      <c r="B150" s="2">
        <f>MATCH(PlanTable[[#This Row],[Mã thiết bị]],EquipmentInfo[Mã thiết bị],0)</f>
        <v>152</v>
      </c>
      <c r="C150" s="22" t="str">
        <f>INDEX(EquipmentInfo[Tên thiết bị],MATCH(PlanTable[[#This Row],[Mã thiết bị]],EquipmentInfo[Mã thiết bị],0))</f>
        <v>Máy đo tốc độ vòng quay DT2236B</v>
      </c>
      <c r="D150" s="2" t="s">
        <v>199</v>
      </c>
      <c r="E150" s="2" t="str">
        <f>IF(INDEX(EquipmentInfo[KĐ cân],PlanTable[[#This Row],[I]])=0,"",INDEX(EquipmentInfo[KĐ cân],PlanTable[[#This Row],[I]]))</f>
        <v/>
      </c>
      <c r="F150" s="2" t="str">
        <f>IF(INDEX(EquipmentInfo[KĐ áp kế],PlanTable[[#This Row],[I]])=0,"",INDEX(EquipmentInfo[KĐ áp kế],PlanTable[[#This Row],[I]]))</f>
        <v/>
      </c>
      <c r="G150" s="2" t="str">
        <f>IF(INDEX(EquipmentInfo[KĐ AT],PlanTable[[#This Row],[I]])=0,"",INDEX(EquipmentInfo[KĐ AT],PlanTable[[#This Row],[I]]))</f>
        <v/>
      </c>
      <c r="H150" s="2">
        <f>IF(INDEX(EquipmentInfo[HC],PlanTable[[#This Row],[I]])=0,"",INDEX(EquipmentInfo[HC],PlanTable[[#This Row],[I]]))</f>
        <v>12</v>
      </c>
      <c r="I150" s="2" t="str">
        <f>IF(INDEX(EquipmentInfo[BT],PlanTable[[#This Row],[I]])=0,"",INDEX(EquipmentInfo[BT],PlanTable[[#This Row],[I]]))</f>
        <v/>
      </c>
      <c r="J150" s="2" t="str">
        <f>IF(INDEX(EquipmentInfo[PQ],PlanTable[[#This Row],[I]])=0,"",INDEX(EquipmentInfo[PQ],PlanTable[[#This Row],[I]]))</f>
        <v/>
      </c>
      <c r="K150" s="2" t="s">
        <v>15</v>
      </c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 t="str">
        <f>IF(INDEX(EquipmentInfo[Thuê CQ],PlanTable[[#This Row],[I]])=0,"",INDEX(EquipmentInfo[Thuê CQ],PlanTable[[#This Row],[I]]))</f>
        <v>x</v>
      </c>
      <c r="X150" s="2" t="str">
        <f>INDEX(EquipmentInfo[Người phụ trách],PlanTable[[#This Row],[I]])</f>
        <v>Tuấn</v>
      </c>
      <c r="Y150" s="2"/>
      <c r="Z150" s="1"/>
    </row>
    <row r="151" spans="1:26" x14ac:dyDescent="0.25">
      <c r="A151" s="2">
        <v>146</v>
      </c>
      <c r="B151" s="2">
        <f>MATCH(PlanTable[[#This Row],[Mã thiết bị]],EquipmentInfo[Mã thiết bị],0)</f>
        <v>153</v>
      </c>
      <c r="C151" s="22" t="str">
        <f>INDEX(EquipmentInfo[Tên thiết bị],MATCH(PlanTable[[#This Row],[Mã thiết bị]],EquipmentInfo[Mã thiết bị],0))</f>
        <v>Chụp hút cố định cho AAS và ELSD</v>
      </c>
      <c r="D151" s="2" t="s">
        <v>200</v>
      </c>
      <c r="E151" s="2" t="str">
        <f>IF(INDEX(EquipmentInfo[KĐ cân],PlanTable[[#This Row],[I]])=0,"",INDEX(EquipmentInfo[KĐ cân],PlanTable[[#This Row],[I]]))</f>
        <v/>
      </c>
      <c r="F151" s="2" t="str">
        <f>IF(INDEX(EquipmentInfo[KĐ áp kế],PlanTable[[#This Row],[I]])=0,"",INDEX(EquipmentInfo[KĐ áp kế],PlanTable[[#This Row],[I]]))</f>
        <v/>
      </c>
      <c r="G151" s="2" t="str">
        <f>IF(INDEX(EquipmentInfo[KĐ AT],PlanTable[[#This Row],[I]])=0,"",INDEX(EquipmentInfo[KĐ AT],PlanTable[[#This Row],[I]]))</f>
        <v/>
      </c>
      <c r="H151" s="2" t="str">
        <f>IF(INDEX(EquipmentInfo[HC],PlanTable[[#This Row],[I]])=0,"",INDEX(EquipmentInfo[HC],PlanTable[[#This Row],[I]]))</f>
        <v/>
      </c>
      <c r="I151" s="2">
        <f>IF(INDEX(EquipmentInfo[BT],PlanTable[[#This Row],[I]])=0,"",INDEX(EquipmentInfo[BT],PlanTable[[#This Row],[I]]))</f>
        <v>3</v>
      </c>
      <c r="J151" s="2" t="str">
        <f>IF(INDEX(EquipmentInfo[PQ],PlanTable[[#This Row],[I]])=0,"",INDEX(EquipmentInfo[PQ],PlanTable[[#This Row],[I]]))</f>
        <v/>
      </c>
      <c r="K151" s="2" t="s">
        <v>16</v>
      </c>
      <c r="L151" s="2"/>
      <c r="M151" s="2"/>
      <c r="N151" s="2" t="s">
        <v>16</v>
      </c>
      <c r="O151" s="2"/>
      <c r="P151" s="2"/>
      <c r="Q151" s="2" t="s">
        <v>16</v>
      </c>
      <c r="R151" s="2"/>
      <c r="S151" s="2"/>
      <c r="T151" s="2" t="s">
        <v>16</v>
      </c>
      <c r="U151" s="2"/>
      <c r="V151" s="2"/>
      <c r="W151" s="2" t="str">
        <f>IF(INDEX(EquipmentInfo[Thuê CQ],PlanTable[[#This Row],[I]])=0,"",INDEX(EquipmentInfo[Thuê CQ],PlanTable[[#This Row],[I]]))</f>
        <v/>
      </c>
      <c r="X151" s="2" t="str">
        <f>INDEX(EquipmentInfo[Người phụ trách],PlanTable[[#This Row],[I]])</f>
        <v>Cường</v>
      </c>
      <c r="Y151" s="2"/>
      <c r="Z151" s="1"/>
    </row>
    <row r="152" spans="1:26" ht="30" x14ac:dyDescent="0.25">
      <c r="A152" s="2">
        <v>147</v>
      </c>
      <c r="B152" s="2">
        <f>MATCH(PlanTable[[#This Row],[Mã thiết bị]],EquipmentInfo[Mã thiết bị],0)</f>
        <v>154</v>
      </c>
      <c r="C152" s="22" t="str">
        <f>INDEX(EquipmentInfo[Tên thiết bị],MATCH(PlanTable[[#This Row],[Mã thiết bị]],EquipmentInfo[Mã thiết bị],0))</f>
        <v>Bộ quả cân F1 (1; 2; 2*; 5; 10; 20; 20*; 50; 100; 200; 200*; 500) mg</v>
      </c>
      <c r="D152" s="2" t="s">
        <v>267</v>
      </c>
      <c r="E152" s="2" t="str">
        <f>IF(INDEX(EquipmentInfo[KĐ cân],PlanTable[[#This Row],[I]])=0,"",INDEX(EquipmentInfo[KĐ cân],PlanTable[[#This Row],[I]]))</f>
        <v/>
      </c>
      <c r="F152" s="2" t="str">
        <f>IF(INDEX(EquipmentInfo[KĐ áp kế],PlanTable[[#This Row],[I]])=0,"",INDEX(EquipmentInfo[KĐ áp kế],PlanTable[[#This Row],[I]]))</f>
        <v/>
      </c>
      <c r="G152" s="2" t="str">
        <f>IF(INDEX(EquipmentInfo[KĐ AT],PlanTable[[#This Row],[I]])=0,"",INDEX(EquipmentInfo[KĐ AT],PlanTable[[#This Row],[I]]))</f>
        <v/>
      </c>
      <c r="H152" s="2">
        <f>IF(INDEX(EquipmentInfo[HC],PlanTable[[#This Row],[I]])=0,"",INDEX(EquipmentInfo[HC],PlanTable[[#This Row],[I]]))</f>
        <v>12</v>
      </c>
      <c r="I152" s="2" t="str">
        <f>IF(INDEX(EquipmentInfo[BT],PlanTable[[#This Row],[I]])=0,"",INDEX(EquipmentInfo[BT],PlanTable[[#This Row],[I]]))</f>
        <v/>
      </c>
      <c r="J152" s="2" t="str">
        <f>IF(INDEX(EquipmentInfo[PQ],PlanTable[[#This Row],[I]])=0,"",INDEX(EquipmentInfo[PQ],PlanTable[[#This Row],[I]]))</f>
        <v/>
      </c>
      <c r="K152" s="2"/>
      <c r="L152" s="2"/>
      <c r="M152" s="2"/>
      <c r="N152" s="2" t="s">
        <v>15</v>
      </c>
      <c r="O152" s="2"/>
      <c r="P152" s="2"/>
      <c r="Q152" s="2"/>
      <c r="R152" s="2"/>
      <c r="S152" s="2"/>
      <c r="T152" s="2"/>
      <c r="U152" s="2"/>
      <c r="V152" s="2"/>
      <c r="W152" s="2" t="str">
        <f>IF(INDEX(EquipmentInfo[Thuê CQ],PlanTable[[#This Row],[I]])=0,"",INDEX(EquipmentInfo[Thuê CQ],PlanTable[[#This Row],[I]]))</f>
        <v>x</v>
      </c>
      <c r="X152" s="2" t="str">
        <f>INDEX(EquipmentInfo[Người phụ trách],PlanTable[[#This Row],[I]])</f>
        <v>Tuấn</v>
      </c>
      <c r="Y152" s="2"/>
      <c r="Z152" s="1"/>
    </row>
    <row r="153" spans="1:26" x14ac:dyDescent="0.25">
      <c r="A153" s="2">
        <v>148</v>
      </c>
      <c r="B153" s="2">
        <f>MATCH(PlanTable[[#This Row],[Mã thiết bị]],EquipmentInfo[Mã thiết bị],0)</f>
        <v>155</v>
      </c>
      <c r="C153" s="22" t="str">
        <f>INDEX(EquipmentInfo[Tên thiết bị],MATCH(PlanTable[[#This Row],[Mã thiết bị]],EquipmentInfo[Mã thiết bị],0))</f>
        <v>Bộ quả cân F1 (2; 5; 10; 20; 100; 200) g</v>
      </c>
      <c r="D153" s="2" t="s">
        <v>268</v>
      </c>
      <c r="E153" s="2" t="str">
        <f>IF(INDEX(EquipmentInfo[KĐ cân],PlanTable[[#This Row],[I]])=0,"",INDEX(EquipmentInfo[KĐ cân],PlanTable[[#This Row],[I]]))</f>
        <v/>
      </c>
      <c r="F153" s="2" t="str">
        <f>IF(INDEX(EquipmentInfo[KĐ áp kế],PlanTable[[#This Row],[I]])=0,"",INDEX(EquipmentInfo[KĐ áp kế],PlanTable[[#This Row],[I]]))</f>
        <v/>
      </c>
      <c r="G153" s="2" t="str">
        <f>IF(INDEX(EquipmentInfo[KĐ AT],PlanTable[[#This Row],[I]])=0,"",INDEX(EquipmentInfo[KĐ AT],PlanTable[[#This Row],[I]]))</f>
        <v/>
      </c>
      <c r="H153" s="2">
        <f>IF(INDEX(EquipmentInfo[HC],PlanTable[[#This Row],[I]])=0,"",INDEX(EquipmentInfo[HC],PlanTable[[#This Row],[I]]))</f>
        <v>12</v>
      </c>
      <c r="I153" s="2" t="str">
        <f>IF(INDEX(EquipmentInfo[BT],PlanTable[[#This Row],[I]])=0,"",INDEX(EquipmentInfo[BT],PlanTable[[#This Row],[I]]))</f>
        <v/>
      </c>
      <c r="J153" s="2" t="str">
        <f>IF(INDEX(EquipmentInfo[PQ],PlanTable[[#This Row],[I]])=0,"",INDEX(EquipmentInfo[PQ],PlanTable[[#This Row],[I]]))</f>
        <v/>
      </c>
      <c r="K153" s="2"/>
      <c r="L153" s="2"/>
      <c r="M153" s="2"/>
      <c r="N153" s="2" t="s">
        <v>15</v>
      </c>
      <c r="O153" s="2"/>
      <c r="P153" s="2"/>
      <c r="Q153" s="2"/>
      <c r="R153" s="2"/>
      <c r="S153" s="2"/>
      <c r="T153" s="2"/>
      <c r="U153" s="2"/>
      <c r="V153" s="2"/>
      <c r="W153" s="2" t="str">
        <f>IF(INDEX(EquipmentInfo[Thuê CQ],PlanTable[[#This Row],[I]])=0,"",INDEX(EquipmentInfo[Thuê CQ],PlanTable[[#This Row],[I]]))</f>
        <v>x</v>
      </c>
      <c r="X153" s="2" t="str">
        <f>INDEX(EquipmentInfo[Người phụ trách],PlanTable[[#This Row],[I]])</f>
        <v>Tuấn</v>
      </c>
      <c r="Y153" s="2"/>
      <c r="Z153" s="1"/>
    </row>
    <row r="154" spans="1:26" x14ac:dyDescent="0.25">
      <c r="A154" s="2">
        <v>149</v>
      </c>
      <c r="B154" s="2">
        <f>MATCH(PlanTable[[#This Row],[Mã thiết bị]],EquipmentInfo[Mã thiết bị],0)</f>
        <v>156</v>
      </c>
      <c r="C154" s="22" t="str">
        <f>INDEX(EquipmentInfo[Tên thiết bị],MATCH(PlanTable[[#This Row],[Mã thiết bị]],EquipmentInfo[Mã thiết bị],0))</f>
        <v>Quả cân E2 200g</v>
      </c>
      <c r="D154" s="2" t="s">
        <v>269</v>
      </c>
      <c r="E154" s="2" t="str">
        <f>IF(INDEX(EquipmentInfo[KĐ cân],PlanTable[[#This Row],[I]])=0,"",INDEX(EquipmentInfo[KĐ cân],PlanTable[[#This Row],[I]]))</f>
        <v/>
      </c>
      <c r="F154" s="2" t="str">
        <f>IF(INDEX(EquipmentInfo[KĐ áp kế],PlanTable[[#This Row],[I]])=0,"",INDEX(EquipmentInfo[KĐ áp kế],PlanTable[[#This Row],[I]]))</f>
        <v/>
      </c>
      <c r="G154" s="2" t="str">
        <f>IF(INDEX(EquipmentInfo[KĐ AT],PlanTable[[#This Row],[I]])=0,"",INDEX(EquipmentInfo[KĐ AT],PlanTable[[#This Row],[I]]))</f>
        <v/>
      </c>
      <c r="H154" s="2">
        <f>IF(INDEX(EquipmentInfo[HC],PlanTable[[#This Row],[I]])=0,"",INDEX(EquipmentInfo[HC],PlanTable[[#This Row],[I]]))</f>
        <v>12</v>
      </c>
      <c r="I154" s="2" t="str">
        <f>IF(INDEX(EquipmentInfo[BT],PlanTable[[#This Row],[I]])=0,"",INDEX(EquipmentInfo[BT],PlanTable[[#This Row],[I]]))</f>
        <v/>
      </c>
      <c r="J154" s="2" t="str">
        <f>IF(INDEX(EquipmentInfo[PQ],PlanTable[[#This Row],[I]])=0,"",INDEX(EquipmentInfo[PQ],PlanTable[[#This Row],[I]]))</f>
        <v/>
      </c>
      <c r="K154" s="2"/>
      <c r="L154" s="2"/>
      <c r="M154" s="2"/>
      <c r="N154" s="2" t="s">
        <v>15</v>
      </c>
      <c r="O154" s="2"/>
      <c r="P154" s="2"/>
      <c r="Q154" s="2"/>
      <c r="R154" s="2"/>
      <c r="S154" s="2"/>
      <c r="T154" s="2"/>
      <c r="U154" s="2"/>
      <c r="V154" s="2"/>
      <c r="W154" s="2" t="str">
        <f>IF(INDEX(EquipmentInfo[Thuê CQ],PlanTable[[#This Row],[I]])=0,"",INDEX(EquipmentInfo[Thuê CQ],PlanTable[[#This Row],[I]]))</f>
        <v>x</v>
      </c>
      <c r="X154" s="2" t="str">
        <f>INDEX(EquipmentInfo[Người phụ trách],PlanTable[[#This Row],[I]])</f>
        <v>Tuấn</v>
      </c>
      <c r="Y154" s="2"/>
      <c r="Z154" s="1"/>
    </row>
    <row r="155" spans="1:26" ht="45" x14ac:dyDescent="0.25">
      <c r="A155" s="2">
        <v>150</v>
      </c>
      <c r="B155" s="2">
        <f>MATCH(PlanTable[[#This Row],[Mã thiết bị]],EquipmentInfo[Mã thiết bị],0)</f>
        <v>157</v>
      </c>
      <c r="C155" s="22" t="str">
        <f>INDEX(EquipmentInfo[Tên thiết bị],MATCH(PlanTable[[#This Row],[Mã thiết bị]],EquipmentInfo[Mã thiết bị],0))</f>
        <v>Bình khí Argon</v>
      </c>
      <c r="D155" s="2" t="s">
        <v>270</v>
      </c>
      <c r="E155" s="2" t="str">
        <f>IF(INDEX(EquipmentInfo[KĐ cân],PlanTable[[#This Row],[I]])=0,"",INDEX(EquipmentInfo[KĐ cân],PlanTable[[#This Row],[I]]))</f>
        <v/>
      </c>
      <c r="F155" s="2">
        <f>IF(INDEX(EquipmentInfo[KĐ áp kế],PlanTable[[#This Row],[I]])=0,"",INDEX(EquipmentInfo[KĐ áp kế],PlanTable[[#This Row],[I]]))</f>
        <v>12</v>
      </c>
      <c r="G155" s="2" t="str">
        <f>IF(INDEX(EquipmentInfo[KĐ AT],PlanTable[[#This Row],[I]])=0,"",INDEX(EquipmentInfo[KĐ AT],PlanTable[[#This Row],[I]]))</f>
        <v/>
      </c>
      <c r="H155" s="2" t="str">
        <f>IF(INDEX(EquipmentInfo[HC],PlanTable[[#This Row],[I]])=0,"",INDEX(EquipmentInfo[HC],PlanTable[[#This Row],[I]]))</f>
        <v/>
      </c>
      <c r="I155" s="2" t="str">
        <f>IF(INDEX(EquipmentInfo[BT],PlanTable[[#This Row],[I]])=0,"",INDEX(EquipmentInfo[BT],PlanTable[[#This Row],[I]]))</f>
        <v/>
      </c>
      <c r="J155" s="2" t="str">
        <f>IF(INDEX(EquipmentInfo[PQ],PlanTable[[#This Row],[I]])=0,"",INDEX(EquipmentInfo[PQ],PlanTable[[#This Row],[I]]))</f>
        <v/>
      </c>
      <c r="K155" s="2"/>
      <c r="L155" s="2"/>
      <c r="M155" s="2"/>
      <c r="N155" s="2" t="s">
        <v>27</v>
      </c>
      <c r="O155" s="2"/>
      <c r="P155" s="2"/>
      <c r="Q155" s="2"/>
      <c r="R155" s="2"/>
      <c r="S155" s="2"/>
      <c r="T155" s="2"/>
      <c r="U155" s="2"/>
      <c r="V155" s="2"/>
      <c r="W155" s="2" t="str">
        <f>IF(INDEX(EquipmentInfo[Thuê CQ],PlanTable[[#This Row],[I]])=0,"",INDEX(EquipmentInfo[Thuê CQ],PlanTable[[#This Row],[I]]))</f>
        <v>x</v>
      </c>
      <c r="X155" s="2" t="str">
        <f>INDEX(EquipmentInfo[Người phụ trách],PlanTable[[#This Row],[I]])</f>
        <v>Tuấn</v>
      </c>
      <c r="Y155" s="2"/>
      <c r="Z155" s="1"/>
    </row>
    <row r="156" spans="1:26" ht="45" x14ac:dyDescent="0.25">
      <c r="A156" s="2">
        <v>151</v>
      </c>
      <c r="B156" s="2">
        <f>MATCH(PlanTable[[#This Row],[Mã thiết bị]],EquipmentInfo[Mã thiết bị],0)</f>
        <v>158</v>
      </c>
      <c r="C156" s="22" t="str">
        <f>INDEX(EquipmentInfo[Tên thiết bị],MATCH(PlanTable[[#This Row],[Mã thiết bị]],EquipmentInfo[Mã thiết bị],0))</f>
        <v>Bình khí Acetylen</v>
      </c>
      <c r="D156" s="2" t="s">
        <v>271</v>
      </c>
      <c r="E156" s="2" t="str">
        <f>IF(INDEX(EquipmentInfo[KĐ cân],PlanTable[[#This Row],[I]])=0,"",INDEX(EquipmentInfo[KĐ cân],PlanTable[[#This Row],[I]]))</f>
        <v/>
      </c>
      <c r="F156" s="2">
        <f>IF(INDEX(EquipmentInfo[KĐ áp kế],PlanTable[[#This Row],[I]])=0,"",INDEX(EquipmentInfo[KĐ áp kế],PlanTable[[#This Row],[I]]))</f>
        <v>12</v>
      </c>
      <c r="G156" s="2" t="str">
        <f>IF(INDEX(EquipmentInfo[KĐ AT],PlanTable[[#This Row],[I]])=0,"",INDEX(EquipmentInfo[KĐ AT],PlanTable[[#This Row],[I]]))</f>
        <v/>
      </c>
      <c r="H156" s="2" t="str">
        <f>IF(INDEX(EquipmentInfo[HC],PlanTable[[#This Row],[I]])=0,"",INDEX(EquipmentInfo[HC],PlanTable[[#This Row],[I]]))</f>
        <v/>
      </c>
      <c r="I156" s="2" t="str">
        <f>IF(INDEX(EquipmentInfo[BT],PlanTable[[#This Row],[I]])=0,"",INDEX(EquipmentInfo[BT],PlanTable[[#This Row],[I]]))</f>
        <v/>
      </c>
      <c r="J156" s="2" t="str">
        <f>IF(INDEX(EquipmentInfo[PQ],PlanTable[[#This Row],[I]])=0,"",INDEX(EquipmentInfo[PQ],PlanTable[[#This Row],[I]]))</f>
        <v/>
      </c>
      <c r="K156" s="2"/>
      <c r="L156" s="2"/>
      <c r="M156" s="2"/>
      <c r="N156" s="2" t="s">
        <v>27</v>
      </c>
      <c r="O156" s="2"/>
      <c r="P156" s="2"/>
      <c r="Q156" s="2"/>
      <c r="R156" s="2"/>
      <c r="S156" s="2"/>
      <c r="T156" s="2"/>
      <c r="U156" s="2"/>
      <c r="V156" s="2"/>
      <c r="W156" s="2" t="str">
        <f>IF(INDEX(EquipmentInfo[Thuê CQ],PlanTable[[#This Row],[I]])=0,"",INDEX(EquipmentInfo[Thuê CQ],PlanTable[[#This Row],[I]]))</f>
        <v>x</v>
      </c>
      <c r="X156" s="2" t="str">
        <f>INDEX(EquipmentInfo[Người phụ trách],PlanTable[[#This Row],[I]])</f>
        <v>Tuấn</v>
      </c>
      <c r="Y156" s="2"/>
      <c r="Z156" s="1"/>
    </row>
    <row r="157" spans="1:26" ht="45" x14ac:dyDescent="0.25">
      <c r="A157" s="2">
        <v>152</v>
      </c>
      <c r="B157" s="2">
        <f>MATCH(PlanTable[[#This Row],[Mã thiết bị]],EquipmentInfo[Mã thiết bị],0)</f>
        <v>159</v>
      </c>
      <c r="C157" s="22" t="str">
        <f>INDEX(EquipmentInfo[Tên thiết bị],MATCH(PlanTable[[#This Row],[Mã thiết bị]],EquipmentInfo[Mã thiết bị],0))</f>
        <v>Bình khí Ni-tơ (máy SKLM)</v>
      </c>
      <c r="D157" s="2" t="s">
        <v>272</v>
      </c>
      <c r="E157" s="2" t="str">
        <f>IF(INDEX(EquipmentInfo[KĐ cân],PlanTable[[#This Row],[I]])=0,"",INDEX(EquipmentInfo[KĐ cân],PlanTable[[#This Row],[I]]))</f>
        <v/>
      </c>
      <c r="F157" s="2">
        <f>IF(INDEX(EquipmentInfo[KĐ áp kế],PlanTable[[#This Row],[I]])=0,"",INDEX(EquipmentInfo[KĐ áp kế],PlanTable[[#This Row],[I]]))</f>
        <v>12</v>
      </c>
      <c r="G157" s="2" t="str">
        <f>IF(INDEX(EquipmentInfo[KĐ AT],PlanTable[[#This Row],[I]])=0,"",INDEX(EquipmentInfo[KĐ AT],PlanTable[[#This Row],[I]]))</f>
        <v/>
      </c>
      <c r="H157" s="2" t="str">
        <f>IF(INDEX(EquipmentInfo[HC],PlanTable[[#This Row],[I]])=0,"",INDEX(EquipmentInfo[HC],PlanTable[[#This Row],[I]]))</f>
        <v/>
      </c>
      <c r="I157" s="2" t="str">
        <f>IF(INDEX(EquipmentInfo[BT],PlanTable[[#This Row],[I]])=0,"",INDEX(EquipmentInfo[BT],PlanTable[[#This Row],[I]]))</f>
        <v/>
      </c>
      <c r="J157" s="2" t="str">
        <f>IF(INDEX(EquipmentInfo[PQ],PlanTable[[#This Row],[I]])=0,"",INDEX(EquipmentInfo[PQ],PlanTable[[#This Row],[I]]))</f>
        <v/>
      </c>
      <c r="K157" s="2"/>
      <c r="L157" s="2"/>
      <c r="M157" s="2"/>
      <c r="N157" s="2" t="s">
        <v>27</v>
      </c>
      <c r="O157" s="2"/>
      <c r="P157" s="2"/>
      <c r="Q157" s="2"/>
      <c r="R157" s="2"/>
      <c r="S157" s="2"/>
      <c r="T157" s="2"/>
      <c r="U157" s="2"/>
      <c r="V157" s="2"/>
      <c r="W157" s="2" t="str">
        <f>IF(INDEX(EquipmentInfo[Thuê CQ],PlanTable[[#This Row],[I]])=0,"",INDEX(EquipmentInfo[Thuê CQ],PlanTable[[#This Row],[I]]))</f>
        <v>x</v>
      </c>
      <c r="X157" s="2" t="str">
        <f>INDEX(EquipmentInfo[Người phụ trách],PlanTable[[#This Row],[I]])</f>
        <v>Tuấn</v>
      </c>
      <c r="Y157" s="2"/>
      <c r="Z157" s="1"/>
    </row>
    <row r="158" spans="1:26" x14ac:dyDescent="0.25">
      <c r="A158" s="2">
        <v>153</v>
      </c>
      <c r="B158" s="2">
        <f>MATCH(PlanTable[[#This Row],[Mã thiết bị]],EquipmentInfo[Mã thiết bị],0)</f>
        <v>161</v>
      </c>
      <c r="C158" s="22" t="str">
        <f>INDEX(EquipmentInfo[Tên thiết bị],MATCH(PlanTable[[#This Row],[Mã thiết bị]],EquipmentInfo[Mã thiết bị],0))</f>
        <v>Datalogger Testo 174H</v>
      </c>
      <c r="D158" s="2" t="s">
        <v>201</v>
      </c>
      <c r="E158" s="2" t="str">
        <f>IF(INDEX(EquipmentInfo[KĐ cân],PlanTable[[#This Row],[I]])=0,"",INDEX(EquipmentInfo[KĐ cân],PlanTable[[#This Row],[I]]))</f>
        <v/>
      </c>
      <c r="F158" s="2" t="str">
        <f>IF(INDEX(EquipmentInfo[KĐ áp kế],PlanTable[[#This Row],[I]])=0,"",INDEX(EquipmentInfo[KĐ áp kế],PlanTable[[#This Row],[I]]))</f>
        <v/>
      </c>
      <c r="G158" s="2" t="str">
        <f>IF(INDEX(EquipmentInfo[KĐ AT],PlanTable[[#This Row],[I]])=0,"",INDEX(EquipmentInfo[KĐ AT],PlanTable[[#This Row],[I]]))</f>
        <v/>
      </c>
      <c r="H158" s="2">
        <f>IF(INDEX(EquipmentInfo[HC],PlanTable[[#This Row],[I]])=0,"",INDEX(EquipmentInfo[HC],PlanTable[[#This Row],[I]]))</f>
        <v>12</v>
      </c>
      <c r="I158" s="2" t="str">
        <f>IF(INDEX(EquipmentInfo[BT],PlanTable[[#This Row],[I]])=0,"",INDEX(EquipmentInfo[BT],PlanTable[[#This Row],[I]]))</f>
        <v/>
      </c>
      <c r="J158" s="2" t="str">
        <f>IF(INDEX(EquipmentInfo[PQ],PlanTable[[#This Row],[I]])=0,"",INDEX(EquipmentInfo[PQ],PlanTable[[#This Row],[I]]))</f>
        <v/>
      </c>
      <c r="K158" s="2" t="s">
        <v>15</v>
      </c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 t="str">
        <f>IF(INDEX(EquipmentInfo[Thuê CQ],PlanTable[[#This Row],[I]])=0,"",INDEX(EquipmentInfo[Thuê CQ],PlanTable[[#This Row],[I]]))</f>
        <v/>
      </c>
      <c r="X158" s="2" t="str">
        <f>INDEX(EquipmentInfo[Người phụ trách],PlanTable[[#This Row],[I]])</f>
        <v>Tuấn</v>
      </c>
      <c r="Y158" s="2"/>
      <c r="Z158" s="1"/>
    </row>
    <row r="159" spans="1:26" x14ac:dyDescent="0.25">
      <c r="A159" s="2">
        <v>154</v>
      </c>
      <c r="B159" s="2">
        <f>MATCH(PlanTable[[#This Row],[Mã thiết bị]],EquipmentInfo[Mã thiết bị],0)</f>
        <v>162</v>
      </c>
      <c r="C159" s="22" t="str">
        <f>INDEX(EquipmentInfo[Tên thiết bị],MATCH(PlanTable[[#This Row],[Mã thiết bị]],EquipmentInfo[Mã thiết bị],0))</f>
        <v>Datalogger Testo 174H</v>
      </c>
      <c r="D159" s="2" t="s">
        <v>202</v>
      </c>
      <c r="E159" s="2" t="str">
        <f>IF(INDEX(EquipmentInfo[KĐ cân],PlanTable[[#This Row],[I]])=0,"",INDEX(EquipmentInfo[KĐ cân],PlanTable[[#This Row],[I]]))</f>
        <v/>
      </c>
      <c r="F159" s="2" t="str">
        <f>IF(INDEX(EquipmentInfo[KĐ áp kế],PlanTable[[#This Row],[I]])=0,"",INDEX(EquipmentInfo[KĐ áp kế],PlanTable[[#This Row],[I]]))</f>
        <v/>
      </c>
      <c r="G159" s="2" t="str">
        <f>IF(INDEX(EquipmentInfo[KĐ AT],PlanTable[[#This Row],[I]])=0,"",INDEX(EquipmentInfo[KĐ AT],PlanTable[[#This Row],[I]]))</f>
        <v/>
      </c>
      <c r="H159" s="2">
        <f>IF(INDEX(EquipmentInfo[HC],PlanTable[[#This Row],[I]])=0,"",INDEX(EquipmentInfo[HC],PlanTable[[#This Row],[I]]))</f>
        <v>12</v>
      </c>
      <c r="I159" s="2" t="str">
        <f>IF(INDEX(EquipmentInfo[BT],PlanTable[[#This Row],[I]])=0,"",INDEX(EquipmentInfo[BT],PlanTable[[#This Row],[I]]))</f>
        <v/>
      </c>
      <c r="J159" s="2" t="str">
        <f>IF(INDEX(EquipmentInfo[PQ],PlanTable[[#This Row],[I]])=0,"",INDEX(EquipmentInfo[PQ],PlanTable[[#This Row],[I]]))</f>
        <v/>
      </c>
      <c r="K159" s="2" t="s">
        <v>15</v>
      </c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 t="str">
        <f>IF(INDEX(EquipmentInfo[Thuê CQ],PlanTable[[#This Row],[I]])=0,"",INDEX(EquipmentInfo[Thuê CQ],PlanTable[[#This Row],[I]]))</f>
        <v/>
      </c>
      <c r="X159" s="2" t="str">
        <f>INDEX(EquipmentInfo[Người phụ trách],PlanTable[[#This Row],[I]])</f>
        <v>Tuấn</v>
      </c>
      <c r="Y159" s="2"/>
      <c r="Z159" s="1"/>
    </row>
    <row r="160" spans="1:26" x14ac:dyDescent="0.25">
      <c r="A160" s="2">
        <v>155</v>
      </c>
      <c r="B160" s="2">
        <f>MATCH(PlanTable[[#This Row],[Mã thiết bị]],EquipmentInfo[Mã thiết bị],0)</f>
        <v>163</v>
      </c>
      <c r="C160" s="22" t="str">
        <f>INDEX(EquipmentInfo[Tên thiết bị],MATCH(PlanTable[[#This Row],[Mã thiết bị]],EquipmentInfo[Mã thiết bị],0))</f>
        <v>Datalogger Testo 174H</v>
      </c>
      <c r="D160" s="2" t="s">
        <v>203</v>
      </c>
      <c r="E160" s="2" t="str">
        <f>IF(INDEX(EquipmentInfo[KĐ cân],PlanTable[[#This Row],[I]])=0,"",INDEX(EquipmentInfo[KĐ cân],PlanTable[[#This Row],[I]]))</f>
        <v/>
      </c>
      <c r="F160" s="2" t="str">
        <f>IF(INDEX(EquipmentInfo[KĐ áp kế],PlanTable[[#This Row],[I]])=0,"",INDEX(EquipmentInfo[KĐ áp kế],PlanTable[[#This Row],[I]]))</f>
        <v/>
      </c>
      <c r="G160" s="2" t="str">
        <f>IF(INDEX(EquipmentInfo[KĐ AT],PlanTable[[#This Row],[I]])=0,"",INDEX(EquipmentInfo[KĐ AT],PlanTable[[#This Row],[I]]))</f>
        <v/>
      </c>
      <c r="H160" s="2">
        <f>IF(INDEX(EquipmentInfo[HC],PlanTable[[#This Row],[I]])=0,"",INDEX(EquipmentInfo[HC],PlanTable[[#This Row],[I]]))</f>
        <v>12</v>
      </c>
      <c r="I160" s="2" t="str">
        <f>IF(INDEX(EquipmentInfo[BT],PlanTable[[#This Row],[I]])=0,"",INDEX(EquipmentInfo[BT],PlanTable[[#This Row],[I]]))</f>
        <v/>
      </c>
      <c r="J160" s="2" t="str">
        <f>IF(INDEX(EquipmentInfo[PQ],PlanTable[[#This Row],[I]])=0,"",INDEX(EquipmentInfo[PQ],PlanTable[[#This Row],[I]]))</f>
        <v/>
      </c>
      <c r="K160" s="2" t="s">
        <v>15</v>
      </c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 t="str">
        <f>IF(INDEX(EquipmentInfo[Thuê CQ],PlanTable[[#This Row],[I]])=0,"",INDEX(EquipmentInfo[Thuê CQ],PlanTable[[#This Row],[I]]))</f>
        <v/>
      </c>
      <c r="X160" s="2" t="str">
        <f>INDEX(EquipmentInfo[Người phụ trách],PlanTable[[#This Row],[I]])</f>
        <v>Tuấn</v>
      </c>
      <c r="Y160" s="2"/>
      <c r="Z160" s="1"/>
    </row>
    <row r="161" spans="1:26" x14ac:dyDescent="0.25">
      <c r="A161" s="2">
        <v>156</v>
      </c>
      <c r="B161" s="2">
        <f>MATCH(PlanTable[[#This Row],[Mã thiết bị]],EquipmentInfo[Mã thiết bị],0)</f>
        <v>164</v>
      </c>
      <c r="C161" s="22" t="str">
        <f>INDEX(EquipmentInfo[Tên thiết bị],MATCH(PlanTable[[#This Row],[Mã thiết bị]],EquipmentInfo[Mã thiết bị],0))</f>
        <v>Datalogger Testo 174H</v>
      </c>
      <c r="D161" s="2" t="s">
        <v>204</v>
      </c>
      <c r="E161" s="2" t="str">
        <f>IF(INDEX(EquipmentInfo[KĐ cân],PlanTable[[#This Row],[I]])=0,"",INDEX(EquipmentInfo[KĐ cân],PlanTable[[#This Row],[I]]))</f>
        <v/>
      </c>
      <c r="F161" s="2" t="str">
        <f>IF(INDEX(EquipmentInfo[KĐ áp kế],PlanTable[[#This Row],[I]])=0,"",INDEX(EquipmentInfo[KĐ áp kế],PlanTable[[#This Row],[I]]))</f>
        <v/>
      </c>
      <c r="G161" s="2" t="str">
        <f>IF(INDEX(EquipmentInfo[KĐ AT],PlanTable[[#This Row],[I]])=0,"",INDEX(EquipmentInfo[KĐ AT],PlanTable[[#This Row],[I]]))</f>
        <v/>
      </c>
      <c r="H161" s="2">
        <f>IF(INDEX(EquipmentInfo[HC],PlanTable[[#This Row],[I]])=0,"",INDEX(EquipmentInfo[HC],PlanTable[[#This Row],[I]]))</f>
        <v>12</v>
      </c>
      <c r="I161" s="2" t="str">
        <f>IF(INDEX(EquipmentInfo[BT],PlanTable[[#This Row],[I]])=0,"",INDEX(EquipmentInfo[BT],PlanTable[[#This Row],[I]]))</f>
        <v/>
      </c>
      <c r="J161" s="2" t="str">
        <f>IF(INDEX(EquipmentInfo[PQ],PlanTable[[#This Row],[I]])=0,"",INDEX(EquipmentInfo[PQ],PlanTable[[#This Row],[I]]))</f>
        <v/>
      </c>
      <c r="K161" s="2" t="s">
        <v>15</v>
      </c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 t="str">
        <f>IF(INDEX(EquipmentInfo[Thuê CQ],PlanTable[[#This Row],[I]])=0,"",INDEX(EquipmentInfo[Thuê CQ],PlanTable[[#This Row],[I]]))</f>
        <v/>
      </c>
      <c r="X161" s="2" t="str">
        <f>INDEX(EquipmentInfo[Người phụ trách],PlanTable[[#This Row],[I]])</f>
        <v>Tuấn</v>
      </c>
      <c r="Y161" s="2"/>
      <c r="Z161" s="1"/>
    </row>
    <row r="162" spans="1:26" x14ac:dyDescent="0.25">
      <c r="A162" s="2">
        <v>157</v>
      </c>
      <c r="B162" s="2">
        <f>MATCH(PlanTable[[#This Row],[Mã thiết bị]],EquipmentInfo[Mã thiết bị],0)</f>
        <v>165</v>
      </c>
      <c r="C162" s="22" t="str">
        <f>INDEX(EquipmentInfo[Tên thiết bị],MATCH(PlanTable[[#This Row],[Mã thiết bị]],EquipmentInfo[Mã thiết bị],0))</f>
        <v>Datalogger Testo 174H</v>
      </c>
      <c r="D162" s="2" t="s">
        <v>205</v>
      </c>
      <c r="E162" s="2" t="str">
        <f>IF(INDEX(EquipmentInfo[KĐ cân],PlanTable[[#This Row],[I]])=0,"",INDEX(EquipmentInfo[KĐ cân],PlanTable[[#This Row],[I]]))</f>
        <v/>
      </c>
      <c r="F162" s="2" t="str">
        <f>IF(INDEX(EquipmentInfo[KĐ áp kế],PlanTable[[#This Row],[I]])=0,"",INDEX(EquipmentInfo[KĐ áp kế],PlanTable[[#This Row],[I]]))</f>
        <v/>
      </c>
      <c r="G162" s="2" t="str">
        <f>IF(INDEX(EquipmentInfo[KĐ AT],PlanTable[[#This Row],[I]])=0,"",INDEX(EquipmentInfo[KĐ AT],PlanTable[[#This Row],[I]]))</f>
        <v/>
      </c>
      <c r="H162" s="2">
        <f>IF(INDEX(EquipmentInfo[HC],PlanTable[[#This Row],[I]])=0,"",INDEX(EquipmentInfo[HC],PlanTable[[#This Row],[I]]))</f>
        <v>12</v>
      </c>
      <c r="I162" s="2" t="str">
        <f>IF(INDEX(EquipmentInfo[BT],PlanTable[[#This Row],[I]])=0,"",INDEX(EquipmentInfo[BT],PlanTable[[#This Row],[I]]))</f>
        <v/>
      </c>
      <c r="J162" s="2" t="str">
        <f>IF(INDEX(EquipmentInfo[PQ],PlanTable[[#This Row],[I]])=0,"",INDEX(EquipmentInfo[PQ],PlanTable[[#This Row],[I]]))</f>
        <v/>
      </c>
      <c r="K162" s="2" t="s">
        <v>15</v>
      </c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 t="str">
        <f>IF(INDEX(EquipmentInfo[Thuê CQ],PlanTable[[#This Row],[I]])=0,"",INDEX(EquipmentInfo[Thuê CQ],PlanTable[[#This Row],[I]]))</f>
        <v/>
      </c>
      <c r="X162" s="2" t="str">
        <f>INDEX(EquipmentInfo[Người phụ trách],PlanTable[[#This Row],[I]])</f>
        <v>Tuấn</v>
      </c>
      <c r="Y162" s="2"/>
      <c r="Z162" s="1"/>
    </row>
    <row r="163" spans="1:26" x14ac:dyDescent="0.25">
      <c r="A163" s="2">
        <v>158</v>
      </c>
      <c r="B163" s="2">
        <f>MATCH(PlanTable[[#This Row],[Mã thiết bị]],EquipmentInfo[Mã thiết bị],0)</f>
        <v>166</v>
      </c>
      <c r="C163" s="22" t="str">
        <f>INDEX(EquipmentInfo[Tên thiết bị],MATCH(PlanTable[[#This Row],[Mã thiết bị]],EquipmentInfo[Mã thiết bị],0))</f>
        <v>Datalogger Testo 174H</v>
      </c>
      <c r="D163" s="2" t="s">
        <v>206</v>
      </c>
      <c r="E163" s="2" t="str">
        <f>IF(INDEX(EquipmentInfo[KĐ cân],PlanTable[[#This Row],[I]])=0,"",INDEX(EquipmentInfo[KĐ cân],PlanTable[[#This Row],[I]]))</f>
        <v/>
      </c>
      <c r="F163" s="2" t="str">
        <f>IF(INDEX(EquipmentInfo[KĐ áp kế],PlanTable[[#This Row],[I]])=0,"",INDEX(EquipmentInfo[KĐ áp kế],PlanTable[[#This Row],[I]]))</f>
        <v/>
      </c>
      <c r="G163" s="2" t="str">
        <f>IF(INDEX(EquipmentInfo[KĐ AT],PlanTable[[#This Row],[I]])=0,"",INDEX(EquipmentInfo[KĐ AT],PlanTable[[#This Row],[I]]))</f>
        <v/>
      </c>
      <c r="H163" s="2">
        <f>IF(INDEX(EquipmentInfo[HC],PlanTable[[#This Row],[I]])=0,"",INDEX(EquipmentInfo[HC],PlanTable[[#This Row],[I]]))</f>
        <v>12</v>
      </c>
      <c r="I163" s="2" t="str">
        <f>IF(INDEX(EquipmentInfo[BT],PlanTable[[#This Row],[I]])=0,"",INDEX(EquipmentInfo[BT],PlanTable[[#This Row],[I]]))</f>
        <v/>
      </c>
      <c r="J163" s="2" t="str">
        <f>IF(INDEX(EquipmentInfo[PQ],PlanTable[[#This Row],[I]])=0,"",INDEX(EquipmentInfo[PQ],PlanTable[[#This Row],[I]]))</f>
        <v/>
      </c>
      <c r="K163" s="2" t="s">
        <v>15</v>
      </c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 t="str">
        <f>IF(INDEX(EquipmentInfo[Thuê CQ],PlanTable[[#This Row],[I]])=0,"",INDEX(EquipmentInfo[Thuê CQ],PlanTable[[#This Row],[I]]))</f>
        <v/>
      </c>
      <c r="X163" s="2" t="str">
        <f>INDEX(EquipmentInfo[Người phụ trách],PlanTable[[#This Row],[I]])</f>
        <v>Tuấn</v>
      </c>
      <c r="Y163" s="2"/>
      <c r="Z163" s="1"/>
    </row>
    <row r="164" spans="1:26" x14ac:dyDescent="0.25">
      <c r="A164" s="2">
        <v>159</v>
      </c>
      <c r="B164" s="2">
        <f>MATCH(PlanTable[[#This Row],[Mã thiết bị]],EquipmentInfo[Mã thiết bị],0)</f>
        <v>167</v>
      </c>
      <c r="C164" s="22" t="str">
        <f>INDEX(EquipmentInfo[Tên thiết bị],MATCH(PlanTable[[#This Row],[Mã thiết bị]],EquipmentInfo[Mã thiết bị],0))</f>
        <v>Datalogger Testo 174H</v>
      </c>
      <c r="D164" s="2" t="s">
        <v>207</v>
      </c>
      <c r="E164" s="2" t="str">
        <f>IF(INDEX(EquipmentInfo[KĐ cân],PlanTable[[#This Row],[I]])=0,"",INDEX(EquipmentInfo[KĐ cân],PlanTable[[#This Row],[I]]))</f>
        <v/>
      </c>
      <c r="F164" s="2" t="str">
        <f>IF(INDEX(EquipmentInfo[KĐ áp kế],PlanTable[[#This Row],[I]])=0,"",INDEX(EquipmentInfo[KĐ áp kế],PlanTable[[#This Row],[I]]))</f>
        <v/>
      </c>
      <c r="G164" s="2" t="str">
        <f>IF(INDEX(EquipmentInfo[KĐ AT],PlanTable[[#This Row],[I]])=0,"",INDEX(EquipmentInfo[KĐ AT],PlanTable[[#This Row],[I]]))</f>
        <v/>
      </c>
      <c r="H164" s="2">
        <f>IF(INDEX(EquipmentInfo[HC],PlanTable[[#This Row],[I]])=0,"",INDEX(EquipmentInfo[HC],PlanTable[[#This Row],[I]]))</f>
        <v>12</v>
      </c>
      <c r="I164" s="2" t="str">
        <f>IF(INDEX(EquipmentInfo[BT],PlanTable[[#This Row],[I]])=0,"",INDEX(EquipmentInfo[BT],PlanTable[[#This Row],[I]]))</f>
        <v/>
      </c>
      <c r="J164" s="2" t="str">
        <f>IF(INDEX(EquipmentInfo[PQ],PlanTable[[#This Row],[I]])=0,"",INDEX(EquipmentInfo[PQ],PlanTable[[#This Row],[I]]))</f>
        <v/>
      </c>
      <c r="K164" s="2" t="s">
        <v>15</v>
      </c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 t="str">
        <f>IF(INDEX(EquipmentInfo[Thuê CQ],PlanTable[[#This Row],[I]])=0,"",INDEX(EquipmentInfo[Thuê CQ],PlanTable[[#This Row],[I]]))</f>
        <v/>
      </c>
      <c r="X164" s="2" t="str">
        <f>INDEX(EquipmentInfo[Người phụ trách],PlanTable[[#This Row],[I]])</f>
        <v>Tuấn</v>
      </c>
      <c r="Y164" s="2"/>
      <c r="Z164" s="1"/>
    </row>
    <row r="165" spans="1:26" x14ac:dyDescent="0.25">
      <c r="A165" s="2">
        <v>160</v>
      </c>
      <c r="B165" s="2">
        <f>MATCH(PlanTable[[#This Row],[Mã thiết bị]],EquipmentInfo[Mã thiết bị],0)</f>
        <v>168</v>
      </c>
      <c r="C165" s="22" t="str">
        <f>INDEX(EquipmentInfo[Tên thiết bị],MATCH(PlanTable[[#This Row],[Mã thiết bị]],EquipmentInfo[Mã thiết bị],0))</f>
        <v>Datalogger Testo 174H</v>
      </c>
      <c r="D165" s="2" t="s">
        <v>208</v>
      </c>
      <c r="E165" s="2" t="str">
        <f>IF(INDEX(EquipmentInfo[KĐ cân],PlanTable[[#This Row],[I]])=0,"",INDEX(EquipmentInfo[KĐ cân],PlanTable[[#This Row],[I]]))</f>
        <v/>
      </c>
      <c r="F165" s="2" t="str">
        <f>IF(INDEX(EquipmentInfo[KĐ áp kế],PlanTable[[#This Row],[I]])=0,"",INDEX(EquipmentInfo[KĐ áp kế],PlanTable[[#This Row],[I]]))</f>
        <v/>
      </c>
      <c r="G165" s="2" t="str">
        <f>IF(INDEX(EquipmentInfo[KĐ AT],PlanTable[[#This Row],[I]])=0,"",INDEX(EquipmentInfo[KĐ AT],PlanTable[[#This Row],[I]]))</f>
        <v/>
      </c>
      <c r="H165" s="2">
        <f>IF(INDEX(EquipmentInfo[HC],PlanTable[[#This Row],[I]])=0,"",INDEX(EquipmentInfo[HC],PlanTable[[#This Row],[I]]))</f>
        <v>12</v>
      </c>
      <c r="I165" s="2" t="str">
        <f>IF(INDEX(EquipmentInfo[BT],PlanTable[[#This Row],[I]])=0,"",INDEX(EquipmentInfo[BT],PlanTable[[#This Row],[I]]))</f>
        <v/>
      </c>
      <c r="J165" s="2" t="str">
        <f>IF(INDEX(EquipmentInfo[PQ],PlanTable[[#This Row],[I]])=0,"",INDEX(EquipmentInfo[PQ],PlanTable[[#This Row],[I]]))</f>
        <v/>
      </c>
      <c r="K165" s="2" t="s">
        <v>15</v>
      </c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 t="str">
        <f>IF(INDEX(EquipmentInfo[Thuê CQ],PlanTable[[#This Row],[I]])=0,"",INDEX(EquipmentInfo[Thuê CQ],PlanTable[[#This Row],[I]]))</f>
        <v/>
      </c>
      <c r="X165" s="2" t="str">
        <f>INDEX(EquipmentInfo[Người phụ trách],PlanTable[[#This Row],[I]])</f>
        <v>Tuấn</v>
      </c>
      <c r="Y165" s="2"/>
      <c r="Z165" s="1"/>
    </row>
    <row r="166" spans="1:26" x14ac:dyDescent="0.25">
      <c r="A166" s="2">
        <v>161</v>
      </c>
      <c r="B166" s="2">
        <f>MATCH(PlanTable[[#This Row],[Mã thiết bị]],EquipmentInfo[Mã thiết bị],0)</f>
        <v>169</v>
      </c>
      <c r="C166" s="22" t="str">
        <f>INDEX(EquipmentInfo[Tên thiết bị],MATCH(PlanTable[[#This Row],[Mã thiết bị]],EquipmentInfo[Mã thiết bị],0))</f>
        <v>Datalogger Testo 174H</v>
      </c>
      <c r="D166" s="2" t="s">
        <v>209</v>
      </c>
      <c r="E166" s="2" t="str">
        <f>IF(INDEX(EquipmentInfo[KĐ cân],PlanTable[[#This Row],[I]])=0,"",INDEX(EquipmentInfo[KĐ cân],PlanTable[[#This Row],[I]]))</f>
        <v/>
      </c>
      <c r="F166" s="2" t="str">
        <f>IF(INDEX(EquipmentInfo[KĐ áp kế],PlanTable[[#This Row],[I]])=0,"",INDEX(EquipmentInfo[KĐ áp kế],PlanTable[[#This Row],[I]]))</f>
        <v/>
      </c>
      <c r="G166" s="2" t="str">
        <f>IF(INDEX(EquipmentInfo[KĐ AT],PlanTable[[#This Row],[I]])=0,"",INDEX(EquipmentInfo[KĐ AT],PlanTable[[#This Row],[I]]))</f>
        <v/>
      </c>
      <c r="H166" s="2">
        <f>IF(INDEX(EquipmentInfo[HC],PlanTable[[#This Row],[I]])=0,"",INDEX(EquipmentInfo[HC],PlanTable[[#This Row],[I]]))</f>
        <v>12</v>
      </c>
      <c r="I166" s="2" t="str">
        <f>IF(INDEX(EquipmentInfo[BT],PlanTable[[#This Row],[I]])=0,"",INDEX(EquipmentInfo[BT],PlanTable[[#This Row],[I]]))</f>
        <v/>
      </c>
      <c r="J166" s="2" t="str">
        <f>IF(INDEX(EquipmentInfo[PQ],PlanTable[[#This Row],[I]])=0,"",INDEX(EquipmentInfo[PQ],PlanTable[[#This Row],[I]]))</f>
        <v/>
      </c>
      <c r="K166" s="2" t="s">
        <v>15</v>
      </c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 t="str">
        <f>IF(INDEX(EquipmentInfo[Thuê CQ],PlanTable[[#This Row],[I]])=0,"",INDEX(EquipmentInfo[Thuê CQ],PlanTable[[#This Row],[I]]))</f>
        <v/>
      </c>
      <c r="X166" s="2" t="str">
        <f>INDEX(EquipmentInfo[Người phụ trách],PlanTable[[#This Row],[I]])</f>
        <v>Tuấn</v>
      </c>
      <c r="Y166" s="2"/>
      <c r="Z166" s="1"/>
    </row>
    <row r="167" spans="1:26" x14ac:dyDescent="0.25">
      <c r="A167" s="2">
        <v>162</v>
      </c>
      <c r="B167" s="2">
        <f>MATCH(PlanTable[[#This Row],[Mã thiết bị]],EquipmentInfo[Mã thiết bị],0)</f>
        <v>170</v>
      </c>
      <c r="C167" s="22" t="str">
        <f>INDEX(EquipmentInfo[Tên thiết bị],MATCH(PlanTable[[#This Row],[Mã thiết bị]],EquipmentInfo[Mã thiết bị],0))</f>
        <v>Datalogger Testo 174H</v>
      </c>
      <c r="D167" s="2" t="s">
        <v>210</v>
      </c>
      <c r="E167" s="2" t="str">
        <f>IF(INDEX(EquipmentInfo[KĐ cân],PlanTable[[#This Row],[I]])=0,"",INDEX(EquipmentInfo[KĐ cân],PlanTable[[#This Row],[I]]))</f>
        <v/>
      </c>
      <c r="F167" s="2" t="str">
        <f>IF(INDEX(EquipmentInfo[KĐ áp kế],PlanTable[[#This Row],[I]])=0,"",INDEX(EquipmentInfo[KĐ áp kế],PlanTable[[#This Row],[I]]))</f>
        <v/>
      </c>
      <c r="G167" s="2" t="str">
        <f>IF(INDEX(EquipmentInfo[KĐ AT],PlanTable[[#This Row],[I]])=0,"",INDEX(EquipmentInfo[KĐ AT],PlanTable[[#This Row],[I]]))</f>
        <v/>
      </c>
      <c r="H167" s="2">
        <f>IF(INDEX(EquipmentInfo[HC],PlanTable[[#This Row],[I]])=0,"",INDEX(EquipmentInfo[HC],PlanTable[[#This Row],[I]]))</f>
        <v>12</v>
      </c>
      <c r="I167" s="2" t="str">
        <f>IF(INDEX(EquipmentInfo[BT],PlanTable[[#This Row],[I]])=0,"",INDEX(EquipmentInfo[BT],PlanTable[[#This Row],[I]]))</f>
        <v/>
      </c>
      <c r="J167" s="2" t="str">
        <f>IF(INDEX(EquipmentInfo[PQ],PlanTable[[#This Row],[I]])=0,"",INDEX(EquipmentInfo[PQ],PlanTable[[#This Row],[I]]))</f>
        <v/>
      </c>
      <c r="K167" s="2" t="s">
        <v>15</v>
      </c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 t="str">
        <f>IF(INDEX(EquipmentInfo[Thuê CQ],PlanTable[[#This Row],[I]])=0,"",INDEX(EquipmentInfo[Thuê CQ],PlanTable[[#This Row],[I]]))</f>
        <v/>
      </c>
      <c r="X167" s="2" t="str">
        <f>INDEX(EquipmentInfo[Người phụ trách],PlanTable[[#This Row],[I]])</f>
        <v>Tuấn</v>
      </c>
      <c r="Y167" s="2"/>
      <c r="Z167" s="1"/>
    </row>
    <row r="168" spans="1:26" x14ac:dyDescent="0.25">
      <c r="A168" s="2">
        <v>163</v>
      </c>
      <c r="B168" s="2">
        <f>MATCH(PlanTable[[#This Row],[Mã thiết bị]],EquipmentInfo[Mã thiết bị],0)</f>
        <v>171</v>
      </c>
      <c r="C168" s="22" t="str">
        <f>INDEX(EquipmentInfo[Tên thiết bị],MATCH(PlanTable[[#This Row],[Mã thiết bị]],EquipmentInfo[Mã thiết bị],0))</f>
        <v>Datalogger Testo 174H</v>
      </c>
      <c r="D168" s="2" t="s">
        <v>211</v>
      </c>
      <c r="E168" s="2" t="str">
        <f>IF(INDEX(EquipmentInfo[KĐ cân],PlanTable[[#This Row],[I]])=0,"",INDEX(EquipmentInfo[KĐ cân],PlanTable[[#This Row],[I]]))</f>
        <v/>
      </c>
      <c r="F168" s="2" t="str">
        <f>IF(INDEX(EquipmentInfo[KĐ áp kế],PlanTable[[#This Row],[I]])=0,"",INDEX(EquipmentInfo[KĐ áp kế],PlanTable[[#This Row],[I]]))</f>
        <v/>
      </c>
      <c r="G168" s="2" t="str">
        <f>IF(INDEX(EquipmentInfo[KĐ AT],PlanTable[[#This Row],[I]])=0,"",INDEX(EquipmentInfo[KĐ AT],PlanTable[[#This Row],[I]]))</f>
        <v/>
      </c>
      <c r="H168" s="2">
        <f>IF(INDEX(EquipmentInfo[HC],PlanTable[[#This Row],[I]])=0,"",INDEX(EquipmentInfo[HC],PlanTable[[#This Row],[I]]))</f>
        <v>12</v>
      </c>
      <c r="I168" s="2" t="str">
        <f>IF(INDEX(EquipmentInfo[BT],PlanTable[[#This Row],[I]])=0,"",INDEX(EquipmentInfo[BT],PlanTable[[#This Row],[I]]))</f>
        <v/>
      </c>
      <c r="J168" s="2" t="str">
        <f>IF(INDEX(EquipmentInfo[PQ],PlanTable[[#This Row],[I]])=0,"",INDEX(EquipmentInfo[PQ],PlanTable[[#This Row],[I]]))</f>
        <v/>
      </c>
      <c r="K168" s="2" t="s">
        <v>15</v>
      </c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 t="str">
        <f>IF(INDEX(EquipmentInfo[Thuê CQ],PlanTable[[#This Row],[I]])=0,"",INDEX(EquipmentInfo[Thuê CQ],PlanTable[[#This Row],[I]]))</f>
        <v/>
      </c>
      <c r="X168" s="2" t="str">
        <f>INDEX(EquipmentInfo[Người phụ trách],PlanTable[[#This Row],[I]])</f>
        <v>Tuấn</v>
      </c>
      <c r="Y168" s="2"/>
      <c r="Z168" s="1"/>
    </row>
    <row r="169" spans="1:26" x14ac:dyDescent="0.25">
      <c r="A169" s="2">
        <v>164</v>
      </c>
      <c r="B169" s="2">
        <f>MATCH(PlanTable[[#This Row],[Mã thiết bị]],EquipmentInfo[Mã thiết bị],0)</f>
        <v>173</v>
      </c>
      <c r="C169" s="22" t="str">
        <f>INDEX(EquipmentInfo[Tên thiết bị],MATCH(PlanTable[[#This Row],[Mã thiết bị]],EquipmentInfo[Mã thiết bị],0))</f>
        <v>Datalogger Testo 174H</v>
      </c>
      <c r="D169" s="2" t="s">
        <v>212</v>
      </c>
      <c r="E169" s="2" t="str">
        <f>IF(INDEX(EquipmentInfo[KĐ cân],PlanTable[[#This Row],[I]])=0,"",INDEX(EquipmentInfo[KĐ cân],PlanTable[[#This Row],[I]]))</f>
        <v/>
      </c>
      <c r="F169" s="2" t="str">
        <f>IF(INDEX(EquipmentInfo[KĐ áp kế],PlanTable[[#This Row],[I]])=0,"",INDEX(EquipmentInfo[KĐ áp kế],PlanTable[[#This Row],[I]]))</f>
        <v/>
      </c>
      <c r="G169" s="2" t="str">
        <f>IF(INDEX(EquipmentInfo[KĐ AT],PlanTable[[#This Row],[I]])=0,"",INDEX(EquipmentInfo[KĐ AT],PlanTable[[#This Row],[I]]))</f>
        <v/>
      </c>
      <c r="H169" s="2">
        <f>IF(INDEX(EquipmentInfo[HC],PlanTable[[#This Row],[I]])=0,"",INDEX(EquipmentInfo[HC],PlanTable[[#This Row],[I]]))</f>
        <v>12</v>
      </c>
      <c r="I169" s="2" t="str">
        <f>IF(INDEX(EquipmentInfo[BT],PlanTable[[#This Row],[I]])=0,"",INDEX(EquipmentInfo[BT],PlanTable[[#This Row],[I]]))</f>
        <v/>
      </c>
      <c r="J169" s="2" t="str">
        <f>IF(INDEX(EquipmentInfo[PQ],PlanTable[[#This Row],[I]])=0,"",INDEX(EquipmentInfo[PQ],PlanTable[[#This Row],[I]]))</f>
        <v/>
      </c>
      <c r="K169" s="2" t="s">
        <v>15</v>
      </c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 t="str">
        <f>IF(INDEX(EquipmentInfo[Thuê CQ],PlanTable[[#This Row],[I]])=0,"",INDEX(EquipmentInfo[Thuê CQ],PlanTable[[#This Row],[I]]))</f>
        <v/>
      </c>
      <c r="X169" s="2" t="str">
        <f>INDEX(EquipmentInfo[Người phụ trách],PlanTable[[#This Row],[I]])</f>
        <v>Tuấn</v>
      </c>
      <c r="Y169" s="2"/>
      <c r="Z169" s="1"/>
    </row>
    <row r="170" spans="1:26" x14ac:dyDescent="0.25">
      <c r="A170" s="2">
        <v>165</v>
      </c>
      <c r="B170" s="2">
        <f>MATCH(PlanTable[[#This Row],[Mã thiết bị]],EquipmentInfo[Mã thiết bị],0)</f>
        <v>174</v>
      </c>
      <c r="C170" s="22" t="str">
        <f>INDEX(EquipmentInfo[Tên thiết bị],MATCH(PlanTable[[#This Row],[Mã thiết bị]],EquipmentInfo[Mã thiết bị],0))</f>
        <v>Datalogger Testo 174H</v>
      </c>
      <c r="D170" s="2" t="s">
        <v>213</v>
      </c>
      <c r="E170" s="2" t="str">
        <f>IF(INDEX(EquipmentInfo[KĐ cân],PlanTable[[#This Row],[I]])=0,"",INDEX(EquipmentInfo[KĐ cân],PlanTable[[#This Row],[I]]))</f>
        <v/>
      </c>
      <c r="F170" s="2" t="str">
        <f>IF(INDEX(EquipmentInfo[KĐ áp kế],PlanTable[[#This Row],[I]])=0,"",INDEX(EquipmentInfo[KĐ áp kế],PlanTable[[#This Row],[I]]))</f>
        <v/>
      </c>
      <c r="G170" s="2" t="str">
        <f>IF(INDEX(EquipmentInfo[KĐ AT],PlanTable[[#This Row],[I]])=0,"",INDEX(EquipmentInfo[KĐ AT],PlanTable[[#This Row],[I]]))</f>
        <v/>
      </c>
      <c r="H170" s="2">
        <f>IF(INDEX(EquipmentInfo[HC],PlanTable[[#This Row],[I]])=0,"",INDEX(EquipmentInfo[HC],PlanTable[[#This Row],[I]]))</f>
        <v>12</v>
      </c>
      <c r="I170" s="2" t="str">
        <f>IF(INDEX(EquipmentInfo[BT],PlanTable[[#This Row],[I]])=0,"",INDEX(EquipmentInfo[BT],PlanTable[[#This Row],[I]]))</f>
        <v/>
      </c>
      <c r="J170" s="2" t="str">
        <f>IF(INDEX(EquipmentInfo[PQ],PlanTable[[#This Row],[I]])=0,"",INDEX(EquipmentInfo[PQ],PlanTable[[#This Row],[I]]))</f>
        <v/>
      </c>
      <c r="K170" s="2" t="s">
        <v>15</v>
      </c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 t="str">
        <f>IF(INDEX(EquipmentInfo[Thuê CQ],PlanTable[[#This Row],[I]])=0,"",INDEX(EquipmentInfo[Thuê CQ],PlanTable[[#This Row],[I]]))</f>
        <v/>
      </c>
      <c r="X170" s="2" t="str">
        <f>INDEX(EquipmentInfo[Người phụ trách],PlanTable[[#This Row],[I]])</f>
        <v>Tuấn</v>
      </c>
      <c r="Y170" s="2"/>
      <c r="Z170" s="1"/>
    </row>
    <row r="171" spans="1:26" x14ac:dyDescent="0.25">
      <c r="A171" s="2">
        <v>166</v>
      </c>
      <c r="B171" s="2">
        <f>MATCH(PlanTable[[#This Row],[Mã thiết bị]],EquipmentInfo[Mã thiết bị],0)</f>
        <v>175</v>
      </c>
      <c r="C171" s="22" t="str">
        <f>INDEX(EquipmentInfo[Tên thiết bị],MATCH(PlanTable[[#This Row],[Mã thiết bị]],EquipmentInfo[Mã thiết bị],0))</f>
        <v>Datalogger Testo 174H</v>
      </c>
      <c r="D171" s="2" t="s">
        <v>214</v>
      </c>
      <c r="E171" s="2" t="str">
        <f>IF(INDEX(EquipmentInfo[KĐ cân],PlanTable[[#This Row],[I]])=0,"",INDEX(EquipmentInfo[KĐ cân],PlanTable[[#This Row],[I]]))</f>
        <v/>
      </c>
      <c r="F171" s="2" t="str">
        <f>IF(INDEX(EquipmentInfo[KĐ áp kế],PlanTable[[#This Row],[I]])=0,"",INDEX(EquipmentInfo[KĐ áp kế],PlanTable[[#This Row],[I]]))</f>
        <v/>
      </c>
      <c r="G171" s="2" t="str">
        <f>IF(INDEX(EquipmentInfo[KĐ AT],PlanTable[[#This Row],[I]])=0,"",INDEX(EquipmentInfo[KĐ AT],PlanTable[[#This Row],[I]]))</f>
        <v/>
      </c>
      <c r="H171" s="2">
        <f>IF(INDEX(EquipmentInfo[HC],PlanTable[[#This Row],[I]])=0,"",INDEX(EquipmentInfo[HC],PlanTable[[#This Row],[I]]))</f>
        <v>12</v>
      </c>
      <c r="I171" s="2" t="str">
        <f>IF(INDEX(EquipmentInfo[BT],PlanTable[[#This Row],[I]])=0,"",INDEX(EquipmentInfo[BT],PlanTable[[#This Row],[I]]))</f>
        <v/>
      </c>
      <c r="J171" s="2" t="str">
        <f>IF(INDEX(EquipmentInfo[PQ],PlanTable[[#This Row],[I]])=0,"",INDEX(EquipmentInfo[PQ],PlanTable[[#This Row],[I]]))</f>
        <v/>
      </c>
      <c r="K171" s="2" t="s">
        <v>15</v>
      </c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 t="str">
        <f>IF(INDEX(EquipmentInfo[Thuê CQ],PlanTable[[#This Row],[I]])=0,"",INDEX(EquipmentInfo[Thuê CQ],PlanTable[[#This Row],[I]]))</f>
        <v/>
      </c>
      <c r="X171" s="2" t="str">
        <f>INDEX(EquipmentInfo[Người phụ trách],PlanTable[[#This Row],[I]])</f>
        <v>Tuấn</v>
      </c>
      <c r="Y171" s="2"/>
      <c r="Z171" s="1"/>
    </row>
    <row r="172" spans="1:26" x14ac:dyDescent="0.25">
      <c r="A172" s="2">
        <v>167</v>
      </c>
      <c r="B172" s="2">
        <f>MATCH(PlanTable[[#This Row],[Mã thiết bị]],EquipmentInfo[Mã thiết bị],0)</f>
        <v>176</v>
      </c>
      <c r="C172" s="22" t="str">
        <f>INDEX(EquipmentInfo[Tên thiết bị],MATCH(PlanTable[[#This Row],[Mã thiết bị]],EquipmentInfo[Mã thiết bị],0))</f>
        <v>Datalogger Testo 174H</v>
      </c>
      <c r="D172" s="2" t="s">
        <v>215</v>
      </c>
      <c r="E172" s="2" t="str">
        <f>IF(INDEX(EquipmentInfo[KĐ cân],PlanTable[[#This Row],[I]])=0,"",INDEX(EquipmentInfo[KĐ cân],PlanTable[[#This Row],[I]]))</f>
        <v/>
      </c>
      <c r="F172" s="2" t="str">
        <f>IF(INDEX(EquipmentInfo[KĐ áp kế],PlanTable[[#This Row],[I]])=0,"",INDEX(EquipmentInfo[KĐ áp kế],PlanTable[[#This Row],[I]]))</f>
        <v/>
      </c>
      <c r="G172" s="2" t="str">
        <f>IF(INDEX(EquipmentInfo[KĐ AT],PlanTable[[#This Row],[I]])=0,"",INDEX(EquipmentInfo[KĐ AT],PlanTable[[#This Row],[I]]))</f>
        <v/>
      </c>
      <c r="H172" s="2">
        <f>IF(INDEX(EquipmentInfo[HC],PlanTable[[#This Row],[I]])=0,"",INDEX(EquipmentInfo[HC],PlanTable[[#This Row],[I]]))</f>
        <v>12</v>
      </c>
      <c r="I172" s="2" t="str">
        <f>IF(INDEX(EquipmentInfo[BT],PlanTable[[#This Row],[I]])=0,"",INDEX(EquipmentInfo[BT],PlanTable[[#This Row],[I]]))</f>
        <v/>
      </c>
      <c r="J172" s="2" t="str">
        <f>IF(INDEX(EquipmentInfo[PQ],PlanTable[[#This Row],[I]])=0,"",INDEX(EquipmentInfo[PQ],PlanTable[[#This Row],[I]]))</f>
        <v/>
      </c>
      <c r="K172" s="2" t="s">
        <v>15</v>
      </c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 t="str">
        <f>IF(INDEX(EquipmentInfo[Thuê CQ],PlanTable[[#This Row],[I]])=0,"",INDEX(EquipmentInfo[Thuê CQ],PlanTable[[#This Row],[I]]))</f>
        <v/>
      </c>
      <c r="X172" s="2" t="str">
        <f>INDEX(EquipmentInfo[Người phụ trách],PlanTable[[#This Row],[I]])</f>
        <v>Tuấn</v>
      </c>
      <c r="Y172" s="2"/>
      <c r="Z172" s="1"/>
    </row>
    <row r="173" spans="1:26" x14ac:dyDescent="0.25">
      <c r="A173" s="2">
        <v>168</v>
      </c>
      <c r="B173" s="2">
        <f>MATCH(PlanTable[[#This Row],[Mã thiết bị]],EquipmentInfo[Mã thiết bị],0)</f>
        <v>177</v>
      </c>
      <c r="C173" s="22" t="str">
        <f>INDEX(EquipmentInfo[Tên thiết bị],MATCH(PlanTable[[#This Row],[Mã thiết bị]],EquipmentInfo[Mã thiết bị],0))</f>
        <v>Datalogger Testo 174H</v>
      </c>
      <c r="D173" s="2" t="s">
        <v>216</v>
      </c>
      <c r="E173" s="2" t="str">
        <f>IF(INDEX(EquipmentInfo[KĐ cân],PlanTable[[#This Row],[I]])=0,"",INDEX(EquipmentInfo[KĐ cân],PlanTable[[#This Row],[I]]))</f>
        <v/>
      </c>
      <c r="F173" s="2" t="str">
        <f>IF(INDEX(EquipmentInfo[KĐ áp kế],PlanTable[[#This Row],[I]])=0,"",INDEX(EquipmentInfo[KĐ áp kế],PlanTable[[#This Row],[I]]))</f>
        <v/>
      </c>
      <c r="G173" s="2" t="str">
        <f>IF(INDEX(EquipmentInfo[KĐ AT],PlanTable[[#This Row],[I]])=0,"",INDEX(EquipmentInfo[KĐ AT],PlanTable[[#This Row],[I]]))</f>
        <v/>
      </c>
      <c r="H173" s="2">
        <f>IF(INDEX(EquipmentInfo[HC],PlanTable[[#This Row],[I]])=0,"",INDEX(EquipmentInfo[HC],PlanTable[[#This Row],[I]]))</f>
        <v>12</v>
      </c>
      <c r="I173" s="2" t="str">
        <f>IF(INDEX(EquipmentInfo[BT],PlanTable[[#This Row],[I]])=0,"",INDEX(EquipmentInfo[BT],PlanTable[[#This Row],[I]]))</f>
        <v/>
      </c>
      <c r="J173" s="2" t="str">
        <f>IF(INDEX(EquipmentInfo[PQ],PlanTable[[#This Row],[I]])=0,"",INDEX(EquipmentInfo[PQ],PlanTable[[#This Row],[I]]))</f>
        <v/>
      </c>
      <c r="K173" s="2" t="s">
        <v>15</v>
      </c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 t="str">
        <f>IF(INDEX(EquipmentInfo[Thuê CQ],PlanTable[[#This Row],[I]])=0,"",INDEX(EquipmentInfo[Thuê CQ],PlanTable[[#This Row],[I]]))</f>
        <v/>
      </c>
      <c r="X173" s="2" t="str">
        <f>INDEX(EquipmentInfo[Người phụ trách],PlanTable[[#This Row],[I]])</f>
        <v>Tuấn</v>
      </c>
      <c r="Y173" s="2"/>
      <c r="Z173" s="1"/>
    </row>
    <row r="174" spans="1:26" x14ac:dyDescent="0.25">
      <c r="A174" s="2">
        <v>169</v>
      </c>
      <c r="B174" s="2">
        <f>MATCH(PlanTable[[#This Row],[Mã thiết bị]],EquipmentInfo[Mã thiết bị],0)</f>
        <v>178</v>
      </c>
      <c r="C174" s="22" t="str">
        <f>INDEX(EquipmentInfo[Tên thiết bị],MATCH(PlanTable[[#This Row],[Mã thiết bị]],EquipmentInfo[Mã thiết bị],0))</f>
        <v>Datalogger Testo 174H</v>
      </c>
      <c r="D174" s="2" t="s">
        <v>217</v>
      </c>
      <c r="E174" s="2" t="str">
        <f>IF(INDEX(EquipmentInfo[KĐ cân],PlanTable[[#This Row],[I]])=0,"",INDEX(EquipmentInfo[KĐ cân],PlanTable[[#This Row],[I]]))</f>
        <v/>
      </c>
      <c r="F174" s="2" t="str">
        <f>IF(INDEX(EquipmentInfo[KĐ áp kế],PlanTable[[#This Row],[I]])=0,"",INDEX(EquipmentInfo[KĐ áp kế],PlanTable[[#This Row],[I]]))</f>
        <v/>
      </c>
      <c r="G174" s="2" t="str">
        <f>IF(INDEX(EquipmentInfo[KĐ AT],PlanTable[[#This Row],[I]])=0,"",INDEX(EquipmentInfo[KĐ AT],PlanTable[[#This Row],[I]]))</f>
        <v/>
      </c>
      <c r="H174" s="2">
        <f>IF(INDEX(EquipmentInfo[HC],PlanTable[[#This Row],[I]])=0,"",INDEX(EquipmentInfo[HC],PlanTable[[#This Row],[I]]))</f>
        <v>12</v>
      </c>
      <c r="I174" s="2" t="str">
        <f>IF(INDEX(EquipmentInfo[BT],PlanTable[[#This Row],[I]])=0,"",INDEX(EquipmentInfo[BT],PlanTable[[#This Row],[I]]))</f>
        <v/>
      </c>
      <c r="J174" s="2" t="str">
        <f>IF(INDEX(EquipmentInfo[PQ],PlanTable[[#This Row],[I]])=0,"",INDEX(EquipmentInfo[PQ],PlanTable[[#This Row],[I]]))</f>
        <v/>
      </c>
      <c r="K174" s="2" t="s">
        <v>15</v>
      </c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 t="str">
        <f>IF(INDEX(EquipmentInfo[Thuê CQ],PlanTable[[#This Row],[I]])=0,"",INDEX(EquipmentInfo[Thuê CQ],PlanTable[[#This Row],[I]]))</f>
        <v/>
      </c>
      <c r="X174" s="2" t="str">
        <f>INDEX(EquipmentInfo[Người phụ trách],PlanTable[[#This Row],[I]])</f>
        <v>Tuấn</v>
      </c>
      <c r="Y174" s="2"/>
      <c r="Z174" s="1"/>
    </row>
    <row r="175" spans="1:26" x14ac:dyDescent="0.25">
      <c r="A175" s="2">
        <v>170</v>
      </c>
      <c r="B175" s="2">
        <f>MATCH(PlanTable[[#This Row],[Mã thiết bị]],EquipmentInfo[Mã thiết bị],0)</f>
        <v>179</v>
      </c>
      <c r="C175" s="22" t="str">
        <f>INDEX(EquipmentInfo[Tên thiết bị],MATCH(PlanTable[[#This Row],[Mã thiết bị]],EquipmentInfo[Mã thiết bị],0))</f>
        <v>Datalogger Testo 174H</v>
      </c>
      <c r="D175" s="2" t="s">
        <v>218</v>
      </c>
      <c r="E175" s="2" t="str">
        <f>IF(INDEX(EquipmentInfo[KĐ cân],PlanTable[[#This Row],[I]])=0,"",INDEX(EquipmentInfo[KĐ cân],PlanTable[[#This Row],[I]]))</f>
        <v/>
      </c>
      <c r="F175" s="2" t="str">
        <f>IF(INDEX(EquipmentInfo[KĐ áp kế],PlanTable[[#This Row],[I]])=0,"",INDEX(EquipmentInfo[KĐ áp kế],PlanTable[[#This Row],[I]]))</f>
        <v/>
      </c>
      <c r="G175" s="2" t="str">
        <f>IF(INDEX(EquipmentInfo[KĐ AT],PlanTable[[#This Row],[I]])=0,"",INDEX(EquipmentInfo[KĐ AT],PlanTable[[#This Row],[I]]))</f>
        <v/>
      </c>
      <c r="H175" s="2">
        <f>IF(INDEX(EquipmentInfo[HC],PlanTable[[#This Row],[I]])=0,"",INDEX(EquipmentInfo[HC],PlanTable[[#This Row],[I]]))</f>
        <v>12</v>
      </c>
      <c r="I175" s="2" t="str">
        <f>IF(INDEX(EquipmentInfo[BT],PlanTable[[#This Row],[I]])=0,"",INDEX(EquipmentInfo[BT],PlanTable[[#This Row],[I]]))</f>
        <v/>
      </c>
      <c r="J175" s="2" t="str">
        <f>IF(INDEX(EquipmentInfo[PQ],PlanTable[[#This Row],[I]])=0,"",INDEX(EquipmentInfo[PQ],PlanTable[[#This Row],[I]]))</f>
        <v/>
      </c>
      <c r="K175" s="2" t="s">
        <v>15</v>
      </c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 t="str">
        <f>IF(INDEX(EquipmentInfo[Thuê CQ],PlanTable[[#This Row],[I]])=0,"",INDEX(EquipmentInfo[Thuê CQ],PlanTable[[#This Row],[I]]))</f>
        <v/>
      </c>
      <c r="X175" s="2" t="str">
        <f>INDEX(EquipmentInfo[Người phụ trách],PlanTable[[#This Row],[I]])</f>
        <v>Tuấn</v>
      </c>
      <c r="Y175" s="2"/>
      <c r="Z175" s="1"/>
    </row>
    <row r="176" spans="1:26" x14ac:dyDescent="0.25">
      <c r="A176" s="2">
        <v>171</v>
      </c>
      <c r="B176" s="2">
        <f>MATCH(PlanTable[[#This Row],[Mã thiết bị]],EquipmentInfo[Mã thiết bị],0)</f>
        <v>180</v>
      </c>
      <c r="C176" s="22" t="str">
        <f>INDEX(EquipmentInfo[Tên thiết bị],MATCH(PlanTable[[#This Row],[Mã thiết bị]],EquipmentInfo[Mã thiết bị],0))</f>
        <v>Datalogger Testo 174H</v>
      </c>
      <c r="D176" s="2" t="s">
        <v>219</v>
      </c>
      <c r="E176" s="2" t="str">
        <f>IF(INDEX(EquipmentInfo[KĐ cân],PlanTable[[#This Row],[I]])=0,"",INDEX(EquipmentInfo[KĐ cân],PlanTable[[#This Row],[I]]))</f>
        <v/>
      </c>
      <c r="F176" s="2" t="str">
        <f>IF(INDEX(EquipmentInfo[KĐ áp kế],PlanTable[[#This Row],[I]])=0,"",INDEX(EquipmentInfo[KĐ áp kế],PlanTable[[#This Row],[I]]))</f>
        <v/>
      </c>
      <c r="G176" s="2" t="str">
        <f>IF(INDEX(EquipmentInfo[KĐ AT],PlanTable[[#This Row],[I]])=0,"",INDEX(EquipmentInfo[KĐ AT],PlanTable[[#This Row],[I]]))</f>
        <v/>
      </c>
      <c r="H176" s="2">
        <f>IF(INDEX(EquipmentInfo[HC],PlanTable[[#This Row],[I]])=0,"",INDEX(EquipmentInfo[HC],PlanTable[[#This Row],[I]]))</f>
        <v>12</v>
      </c>
      <c r="I176" s="2" t="str">
        <f>IF(INDEX(EquipmentInfo[BT],PlanTable[[#This Row],[I]])=0,"",INDEX(EquipmentInfo[BT],PlanTable[[#This Row],[I]]))</f>
        <v/>
      </c>
      <c r="J176" s="2" t="str">
        <f>IF(INDEX(EquipmentInfo[PQ],PlanTable[[#This Row],[I]])=0,"",INDEX(EquipmentInfo[PQ],PlanTable[[#This Row],[I]]))</f>
        <v/>
      </c>
      <c r="K176" s="2" t="s">
        <v>15</v>
      </c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 t="str">
        <f>IF(INDEX(EquipmentInfo[Thuê CQ],PlanTable[[#This Row],[I]])=0,"",INDEX(EquipmentInfo[Thuê CQ],PlanTable[[#This Row],[I]]))</f>
        <v/>
      </c>
      <c r="X176" s="2" t="str">
        <f>INDEX(EquipmentInfo[Người phụ trách],PlanTable[[#This Row],[I]])</f>
        <v>Tuấn</v>
      </c>
      <c r="Y176" s="2"/>
      <c r="Z176" s="1"/>
    </row>
    <row r="177" spans="1:26" x14ac:dyDescent="0.25">
      <c r="A177" s="2">
        <v>172</v>
      </c>
      <c r="B177" s="2">
        <f>MATCH(PlanTable[[#This Row],[Mã thiết bị]],EquipmentInfo[Mã thiết bị],0)</f>
        <v>181</v>
      </c>
      <c r="C177" s="22" t="str">
        <f>INDEX(EquipmentInfo[Tên thiết bị],MATCH(PlanTable[[#This Row],[Mã thiết bị]],EquipmentInfo[Mã thiết bị],0))</f>
        <v>Datalogger Testo 174H</v>
      </c>
      <c r="D177" s="2" t="s">
        <v>220</v>
      </c>
      <c r="E177" s="2" t="str">
        <f>IF(INDEX(EquipmentInfo[KĐ cân],PlanTable[[#This Row],[I]])=0,"",INDEX(EquipmentInfo[KĐ cân],PlanTable[[#This Row],[I]]))</f>
        <v/>
      </c>
      <c r="F177" s="2" t="str">
        <f>IF(INDEX(EquipmentInfo[KĐ áp kế],PlanTable[[#This Row],[I]])=0,"",INDEX(EquipmentInfo[KĐ áp kế],PlanTable[[#This Row],[I]]))</f>
        <v/>
      </c>
      <c r="G177" s="2" t="str">
        <f>IF(INDEX(EquipmentInfo[KĐ AT],PlanTable[[#This Row],[I]])=0,"",INDEX(EquipmentInfo[KĐ AT],PlanTable[[#This Row],[I]]))</f>
        <v/>
      </c>
      <c r="H177" s="2">
        <f>IF(INDEX(EquipmentInfo[HC],PlanTable[[#This Row],[I]])=0,"",INDEX(EquipmentInfo[HC],PlanTable[[#This Row],[I]]))</f>
        <v>12</v>
      </c>
      <c r="I177" s="2" t="str">
        <f>IF(INDEX(EquipmentInfo[BT],PlanTable[[#This Row],[I]])=0,"",INDEX(EquipmentInfo[BT],PlanTable[[#This Row],[I]]))</f>
        <v/>
      </c>
      <c r="J177" s="2" t="str">
        <f>IF(INDEX(EquipmentInfo[PQ],PlanTable[[#This Row],[I]])=0,"",INDEX(EquipmentInfo[PQ],PlanTable[[#This Row],[I]]))</f>
        <v/>
      </c>
      <c r="K177" s="2" t="s">
        <v>15</v>
      </c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 t="str">
        <f>IF(INDEX(EquipmentInfo[Thuê CQ],PlanTable[[#This Row],[I]])=0,"",INDEX(EquipmentInfo[Thuê CQ],PlanTable[[#This Row],[I]]))</f>
        <v/>
      </c>
      <c r="X177" s="2" t="str">
        <f>INDEX(EquipmentInfo[Người phụ trách],PlanTable[[#This Row],[I]])</f>
        <v>Tuấn</v>
      </c>
      <c r="Y177" s="2"/>
      <c r="Z177" s="1"/>
    </row>
    <row r="178" spans="1:26" x14ac:dyDescent="0.25">
      <c r="A178" s="2">
        <v>173</v>
      </c>
      <c r="B178" s="2">
        <f>MATCH(PlanTable[[#This Row],[Mã thiết bị]],EquipmentInfo[Mã thiết bị],0)</f>
        <v>182</v>
      </c>
      <c r="C178" s="22" t="str">
        <f>INDEX(EquipmentInfo[Tên thiết bị],MATCH(PlanTable[[#This Row],[Mã thiết bị]],EquipmentInfo[Mã thiết bị],0))</f>
        <v>Datalogger Testo 174H</v>
      </c>
      <c r="D178" s="2" t="s">
        <v>221</v>
      </c>
      <c r="E178" s="2" t="str">
        <f>IF(INDEX(EquipmentInfo[KĐ cân],PlanTable[[#This Row],[I]])=0,"",INDEX(EquipmentInfo[KĐ cân],PlanTable[[#This Row],[I]]))</f>
        <v/>
      </c>
      <c r="F178" s="2" t="str">
        <f>IF(INDEX(EquipmentInfo[KĐ áp kế],PlanTable[[#This Row],[I]])=0,"",INDEX(EquipmentInfo[KĐ áp kế],PlanTable[[#This Row],[I]]))</f>
        <v/>
      </c>
      <c r="G178" s="2" t="str">
        <f>IF(INDEX(EquipmentInfo[KĐ AT],PlanTable[[#This Row],[I]])=0,"",INDEX(EquipmentInfo[KĐ AT],PlanTable[[#This Row],[I]]))</f>
        <v/>
      </c>
      <c r="H178" s="2">
        <f>IF(INDEX(EquipmentInfo[HC],PlanTable[[#This Row],[I]])=0,"",INDEX(EquipmentInfo[HC],PlanTable[[#This Row],[I]]))</f>
        <v>12</v>
      </c>
      <c r="I178" s="2" t="str">
        <f>IF(INDEX(EquipmentInfo[BT],PlanTable[[#This Row],[I]])=0,"",INDEX(EquipmentInfo[BT],PlanTable[[#This Row],[I]]))</f>
        <v/>
      </c>
      <c r="J178" s="2" t="str">
        <f>IF(INDEX(EquipmentInfo[PQ],PlanTable[[#This Row],[I]])=0,"",INDEX(EquipmentInfo[PQ],PlanTable[[#This Row],[I]]))</f>
        <v/>
      </c>
      <c r="K178" s="2" t="s">
        <v>15</v>
      </c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 t="str">
        <f>IF(INDEX(EquipmentInfo[Thuê CQ],PlanTable[[#This Row],[I]])=0,"",INDEX(EquipmentInfo[Thuê CQ],PlanTable[[#This Row],[I]]))</f>
        <v/>
      </c>
      <c r="X178" s="2" t="str">
        <f>INDEX(EquipmentInfo[Người phụ trách],PlanTable[[#This Row],[I]])</f>
        <v>Tuấn</v>
      </c>
      <c r="Y178" s="2"/>
      <c r="Z178" s="1"/>
    </row>
    <row r="179" spans="1:26" x14ac:dyDescent="0.25">
      <c r="A179" s="2">
        <v>174</v>
      </c>
      <c r="B179" s="2">
        <f>MATCH(PlanTable[[#This Row],[Mã thiết bị]],EquipmentInfo[Mã thiết bị],0)</f>
        <v>183</v>
      </c>
      <c r="C179" s="22" t="str">
        <f>INDEX(EquipmentInfo[Tên thiết bị],MATCH(PlanTable[[#This Row],[Mã thiết bị]],EquipmentInfo[Mã thiết bị],0))</f>
        <v>Datalogger Testo 174H</v>
      </c>
      <c r="D179" s="2" t="s">
        <v>222</v>
      </c>
      <c r="E179" s="2" t="str">
        <f>IF(INDEX(EquipmentInfo[KĐ cân],PlanTable[[#This Row],[I]])=0,"",INDEX(EquipmentInfo[KĐ cân],PlanTable[[#This Row],[I]]))</f>
        <v/>
      </c>
      <c r="F179" s="2" t="str">
        <f>IF(INDEX(EquipmentInfo[KĐ áp kế],PlanTable[[#This Row],[I]])=0,"",INDEX(EquipmentInfo[KĐ áp kế],PlanTable[[#This Row],[I]]))</f>
        <v/>
      </c>
      <c r="G179" s="2" t="str">
        <f>IF(INDEX(EquipmentInfo[KĐ AT],PlanTable[[#This Row],[I]])=0,"",INDEX(EquipmentInfo[KĐ AT],PlanTable[[#This Row],[I]]))</f>
        <v/>
      </c>
      <c r="H179" s="2">
        <f>IF(INDEX(EquipmentInfo[HC],PlanTable[[#This Row],[I]])=0,"",INDEX(EquipmentInfo[HC],PlanTable[[#This Row],[I]]))</f>
        <v>12</v>
      </c>
      <c r="I179" s="2" t="str">
        <f>IF(INDEX(EquipmentInfo[BT],PlanTable[[#This Row],[I]])=0,"",INDEX(EquipmentInfo[BT],PlanTable[[#This Row],[I]]))</f>
        <v/>
      </c>
      <c r="J179" s="2" t="str">
        <f>IF(INDEX(EquipmentInfo[PQ],PlanTable[[#This Row],[I]])=0,"",INDEX(EquipmentInfo[PQ],PlanTable[[#This Row],[I]]))</f>
        <v/>
      </c>
      <c r="K179" s="2" t="s">
        <v>15</v>
      </c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 t="str">
        <f>IF(INDEX(EquipmentInfo[Thuê CQ],PlanTable[[#This Row],[I]])=0,"",INDEX(EquipmentInfo[Thuê CQ],PlanTable[[#This Row],[I]]))</f>
        <v/>
      </c>
      <c r="X179" s="2" t="str">
        <f>INDEX(EquipmentInfo[Người phụ trách],PlanTable[[#This Row],[I]])</f>
        <v>Tuấn</v>
      </c>
      <c r="Y179" s="2"/>
      <c r="Z179" s="1"/>
    </row>
    <row r="180" spans="1:26" x14ac:dyDescent="0.25">
      <c r="A180" s="2">
        <v>175</v>
      </c>
      <c r="B180" s="2">
        <f>MATCH(PlanTable[[#This Row],[Mã thiết bị]],EquipmentInfo[Mã thiết bị],0)</f>
        <v>184</v>
      </c>
      <c r="C180" s="22" t="str">
        <f>INDEX(EquipmentInfo[Tên thiết bị],MATCH(PlanTable[[#This Row],[Mã thiết bị]],EquipmentInfo[Mã thiết bị],0))</f>
        <v>Datalogger Testo 174H</v>
      </c>
      <c r="D180" s="2" t="s">
        <v>223</v>
      </c>
      <c r="E180" s="2" t="str">
        <f>IF(INDEX(EquipmentInfo[KĐ cân],PlanTable[[#This Row],[I]])=0,"",INDEX(EquipmentInfo[KĐ cân],PlanTable[[#This Row],[I]]))</f>
        <v/>
      </c>
      <c r="F180" s="2" t="str">
        <f>IF(INDEX(EquipmentInfo[KĐ áp kế],PlanTable[[#This Row],[I]])=0,"",INDEX(EquipmentInfo[KĐ áp kế],PlanTable[[#This Row],[I]]))</f>
        <v/>
      </c>
      <c r="G180" s="2" t="str">
        <f>IF(INDEX(EquipmentInfo[KĐ AT],PlanTable[[#This Row],[I]])=0,"",INDEX(EquipmentInfo[KĐ AT],PlanTable[[#This Row],[I]]))</f>
        <v/>
      </c>
      <c r="H180" s="2">
        <f>IF(INDEX(EquipmentInfo[HC],PlanTable[[#This Row],[I]])=0,"",INDEX(EquipmentInfo[HC],PlanTable[[#This Row],[I]]))</f>
        <v>12</v>
      </c>
      <c r="I180" s="2" t="str">
        <f>IF(INDEX(EquipmentInfo[BT],PlanTable[[#This Row],[I]])=0,"",INDEX(EquipmentInfo[BT],PlanTable[[#This Row],[I]]))</f>
        <v/>
      </c>
      <c r="J180" s="2" t="str">
        <f>IF(INDEX(EquipmentInfo[PQ],PlanTable[[#This Row],[I]])=0,"",INDEX(EquipmentInfo[PQ],PlanTable[[#This Row],[I]]))</f>
        <v/>
      </c>
      <c r="K180" s="2" t="s">
        <v>15</v>
      </c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 t="str">
        <f>IF(INDEX(EquipmentInfo[Thuê CQ],PlanTable[[#This Row],[I]])=0,"",INDEX(EquipmentInfo[Thuê CQ],PlanTable[[#This Row],[I]]))</f>
        <v/>
      </c>
      <c r="X180" s="2" t="str">
        <f>INDEX(EquipmentInfo[Người phụ trách],PlanTable[[#This Row],[I]])</f>
        <v>Tuấn</v>
      </c>
      <c r="Y180" s="2"/>
      <c r="Z180" s="1"/>
    </row>
    <row r="181" spans="1:26" x14ac:dyDescent="0.25">
      <c r="A181" s="2">
        <v>176</v>
      </c>
      <c r="B181" s="2">
        <f>MATCH(PlanTable[[#This Row],[Mã thiết bị]],EquipmentInfo[Mã thiết bị],0)</f>
        <v>185</v>
      </c>
      <c r="C181" s="22" t="str">
        <f>INDEX(EquipmentInfo[Tên thiết bị],MATCH(PlanTable[[#This Row],[Mã thiết bị]],EquipmentInfo[Mã thiết bị],0))</f>
        <v>Datalogger Testo 174H</v>
      </c>
      <c r="D181" s="2" t="s">
        <v>224</v>
      </c>
      <c r="E181" s="2" t="str">
        <f>IF(INDEX(EquipmentInfo[KĐ cân],PlanTable[[#This Row],[I]])=0,"",INDEX(EquipmentInfo[KĐ cân],PlanTable[[#This Row],[I]]))</f>
        <v/>
      </c>
      <c r="F181" s="2" t="str">
        <f>IF(INDEX(EquipmentInfo[KĐ áp kế],PlanTable[[#This Row],[I]])=0,"",INDEX(EquipmentInfo[KĐ áp kế],PlanTable[[#This Row],[I]]))</f>
        <v/>
      </c>
      <c r="G181" s="2" t="str">
        <f>IF(INDEX(EquipmentInfo[KĐ AT],PlanTable[[#This Row],[I]])=0,"",INDEX(EquipmentInfo[KĐ AT],PlanTable[[#This Row],[I]]))</f>
        <v/>
      </c>
      <c r="H181" s="2">
        <f>IF(INDEX(EquipmentInfo[HC],PlanTable[[#This Row],[I]])=0,"",INDEX(EquipmentInfo[HC],PlanTable[[#This Row],[I]]))</f>
        <v>12</v>
      </c>
      <c r="I181" s="2" t="str">
        <f>IF(INDEX(EquipmentInfo[BT],PlanTable[[#This Row],[I]])=0,"",INDEX(EquipmentInfo[BT],PlanTable[[#This Row],[I]]))</f>
        <v/>
      </c>
      <c r="J181" s="2" t="str">
        <f>IF(INDEX(EquipmentInfo[PQ],PlanTable[[#This Row],[I]])=0,"",INDEX(EquipmentInfo[PQ],PlanTable[[#This Row],[I]]))</f>
        <v/>
      </c>
      <c r="K181" s="2" t="s">
        <v>15</v>
      </c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 t="str">
        <f>IF(INDEX(EquipmentInfo[Thuê CQ],PlanTable[[#This Row],[I]])=0,"",INDEX(EquipmentInfo[Thuê CQ],PlanTable[[#This Row],[I]]))</f>
        <v/>
      </c>
      <c r="X181" s="2" t="str">
        <f>INDEX(EquipmentInfo[Người phụ trách],PlanTable[[#This Row],[I]])</f>
        <v>Tuấn</v>
      </c>
      <c r="Y181" s="2"/>
      <c r="Z181" s="1"/>
    </row>
    <row r="182" spans="1:26" x14ac:dyDescent="0.25">
      <c r="A182" s="2">
        <v>177</v>
      </c>
      <c r="B182" s="2">
        <f>MATCH(PlanTable[[#This Row],[Mã thiết bị]],EquipmentInfo[Mã thiết bị],0)</f>
        <v>186</v>
      </c>
      <c r="C182" s="22" t="str">
        <f>INDEX(EquipmentInfo[Tên thiết bị],MATCH(PlanTable[[#This Row],[Mã thiết bị]],EquipmentInfo[Mã thiết bị],0))</f>
        <v>Datalogger Testo 174H</v>
      </c>
      <c r="D182" s="2" t="s">
        <v>225</v>
      </c>
      <c r="E182" s="2" t="str">
        <f>IF(INDEX(EquipmentInfo[KĐ cân],PlanTable[[#This Row],[I]])=0,"",INDEX(EquipmentInfo[KĐ cân],PlanTable[[#This Row],[I]]))</f>
        <v/>
      </c>
      <c r="F182" s="2" t="str">
        <f>IF(INDEX(EquipmentInfo[KĐ áp kế],PlanTable[[#This Row],[I]])=0,"",INDEX(EquipmentInfo[KĐ áp kế],PlanTable[[#This Row],[I]]))</f>
        <v/>
      </c>
      <c r="G182" s="2" t="str">
        <f>IF(INDEX(EquipmentInfo[KĐ AT],PlanTable[[#This Row],[I]])=0,"",INDEX(EquipmentInfo[KĐ AT],PlanTable[[#This Row],[I]]))</f>
        <v/>
      </c>
      <c r="H182" s="2">
        <f>IF(INDEX(EquipmentInfo[HC],PlanTable[[#This Row],[I]])=0,"",INDEX(EquipmentInfo[HC],PlanTable[[#This Row],[I]]))</f>
        <v>12</v>
      </c>
      <c r="I182" s="2" t="str">
        <f>IF(INDEX(EquipmentInfo[BT],PlanTable[[#This Row],[I]])=0,"",INDEX(EquipmentInfo[BT],PlanTable[[#This Row],[I]]))</f>
        <v/>
      </c>
      <c r="J182" s="2" t="str">
        <f>IF(INDEX(EquipmentInfo[PQ],PlanTable[[#This Row],[I]])=0,"",INDEX(EquipmentInfo[PQ],PlanTable[[#This Row],[I]]))</f>
        <v/>
      </c>
      <c r="K182" s="2" t="s">
        <v>15</v>
      </c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 t="str">
        <f>IF(INDEX(EquipmentInfo[Thuê CQ],PlanTable[[#This Row],[I]])=0,"",INDEX(EquipmentInfo[Thuê CQ],PlanTable[[#This Row],[I]]))</f>
        <v/>
      </c>
      <c r="X182" s="2" t="str">
        <f>INDEX(EquipmentInfo[Người phụ trách],PlanTable[[#This Row],[I]])</f>
        <v>Tuấn</v>
      </c>
      <c r="Y182" s="2"/>
      <c r="Z182" s="1"/>
    </row>
    <row r="183" spans="1:26" x14ac:dyDescent="0.25">
      <c r="A183" s="2">
        <v>178</v>
      </c>
      <c r="B183" s="2">
        <f>MATCH(PlanTable[[#This Row],[Mã thiết bị]],EquipmentInfo[Mã thiết bị],0)</f>
        <v>187</v>
      </c>
      <c r="C183" s="22" t="str">
        <f>INDEX(EquipmentInfo[Tên thiết bị],MATCH(PlanTable[[#This Row],[Mã thiết bị]],EquipmentInfo[Mã thiết bị],0))</f>
        <v>Datalogger Testo 174H</v>
      </c>
      <c r="D183" s="2" t="s">
        <v>226</v>
      </c>
      <c r="E183" s="2" t="str">
        <f>IF(INDEX(EquipmentInfo[KĐ cân],PlanTable[[#This Row],[I]])=0,"",INDEX(EquipmentInfo[KĐ cân],PlanTable[[#This Row],[I]]))</f>
        <v/>
      </c>
      <c r="F183" s="2" t="str">
        <f>IF(INDEX(EquipmentInfo[KĐ áp kế],PlanTable[[#This Row],[I]])=0,"",INDEX(EquipmentInfo[KĐ áp kế],PlanTable[[#This Row],[I]]))</f>
        <v/>
      </c>
      <c r="G183" s="2" t="str">
        <f>IF(INDEX(EquipmentInfo[KĐ AT],PlanTable[[#This Row],[I]])=0,"",INDEX(EquipmentInfo[KĐ AT],PlanTable[[#This Row],[I]]))</f>
        <v/>
      </c>
      <c r="H183" s="2">
        <f>IF(INDEX(EquipmentInfo[HC],PlanTable[[#This Row],[I]])=0,"",INDEX(EquipmentInfo[HC],PlanTable[[#This Row],[I]]))</f>
        <v>12</v>
      </c>
      <c r="I183" s="2" t="str">
        <f>IF(INDEX(EquipmentInfo[BT],PlanTable[[#This Row],[I]])=0,"",INDEX(EquipmentInfo[BT],PlanTable[[#This Row],[I]]))</f>
        <v/>
      </c>
      <c r="J183" s="2" t="str">
        <f>IF(INDEX(EquipmentInfo[PQ],PlanTable[[#This Row],[I]])=0,"",INDEX(EquipmentInfo[PQ],PlanTable[[#This Row],[I]]))</f>
        <v/>
      </c>
      <c r="K183" s="2" t="s">
        <v>15</v>
      </c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 t="str">
        <f>IF(INDEX(EquipmentInfo[Thuê CQ],PlanTable[[#This Row],[I]])=0,"",INDEX(EquipmentInfo[Thuê CQ],PlanTable[[#This Row],[I]]))</f>
        <v/>
      </c>
      <c r="X183" s="2" t="str">
        <f>INDEX(EquipmentInfo[Người phụ trách],PlanTable[[#This Row],[I]])</f>
        <v>Tuấn</v>
      </c>
      <c r="Y183" s="2"/>
      <c r="Z183" s="1"/>
    </row>
    <row r="184" spans="1:26" x14ac:dyDescent="0.25">
      <c r="A184" s="2">
        <v>179</v>
      </c>
      <c r="B184" s="2">
        <f>MATCH(PlanTable[[#This Row],[Mã thiết bị]],EquipmentInfo[Mã thiết bị],0)</f>
        <v>188</v>
      </c>
      <c r="C184" s="22" t="str">
        <f>INDEX(EquipmentInfo[Tên thiết bị],MATCH(PlanTable[[#This Row],[Mã thiết bị]],EquipmentInfo[Mã thiết bị],0))</f>
        <v>Datalogger Testo 174H</v>
      </c>
      <c r="D184" s="2" t="s">
        <v>227</v>
      </c>
      <c r="E184" s="2" t="str">
        <f>IF(INDEX(EquipmentInfo[KĐ cân],PlanTable[[#This Row],[I]])=0,"",INDEX(EquipmentInfo[KĐ cân],PlanTable[[#This Row],[I]]))</f>
        <v/>
      </c>
      <c r="F184" s="2" t="str">
        <f>IF(INDEX(EquipmentInfo[KĐ áp kế],PlanTable[[#This Row],[I]])=0,"",INDEX(EquipmentInfo[KĐ áp kế],PlanTable[[#This Row],[I]]))</f>
        <v/>
      </c>
      <c r="G184" s="2" t="str">
        <f>IF(INDEX(EquipmentInfo[KĐ AT],PlanTable[[#This Row],[I]])=0,"",INDEX(EquipmentInfo[KĐ AT],PlanTable[[#This Row],[I]]))</f>
        <v/>
      </c>
      <c r="H184" s="2">
        <f>IF(INDEX(EquipmentInfo[HC],PlanTable[[#This Row],[I]])=0,"",INDEX(EquipmentInfo[HC],PlanTable[[#This Row],[I]]))</f>
        <v>12</v>
      </c>
      <c r="I184" s="2" t="str">
        <f>IF(INDEX(EquipmentInfo[BT],PlanTable[[#This Row],[I]])=0,"",INDEX(EquipmentInfo[BT],PlanTable[[#This Row],[I]]))</f>
        <v/>
      </c>
      <c r="J184" s="2" t="str">
        <f>IF(INDEX(EquipmentInfo[PQ],PlanTable[[#This Row],[I]])=0,"",INDEX(EquipmentInfo[PQ],PlanTable[[#This Row],[I]]))</f>
        <v/>
      </c>
      <c r="K184" s="2" t="s">
        <v>15</v>
      </c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 t="str">
        <f>IF(INDEX(EquipmentInfo[Thuê CQ],PlanTable[[#This Row],[I]])=0,"",INDEX(EquipmentInfo[Thuê CQ],PlanTable[[#This Row],[I]]))</f>
        <v/>
      </c>
      <c r="X184" s="2" t="str">
        <f>INDEX(EquipmentInfo[Người phụ trách],PlanTable[[#This Row],[I]])</f>
        <v>Tuấn</v>
      </c>
      <c r="Y184" s="2"/>
      <c r="Z184" s="1"/>
    </row>
    <row r="185" spans="1:26" x14ac:dyDescent="0.25">
      <c r="A185" s="2">
        <v>180</v>
      </c>
      <c r="B185" s="2">
        <f>MATCH(PlanTable[[#This Row],[Mã thiết bị]],EquipmentInfo[Mã thiết bị],0)</f>
        <v>189</v>
      </c>
      <c r="C185" s="22" t="str">
        <f>INDEX(EquipmentInfo[Tên thiết bị],MATCH(PlanTable[[#This Row],[Mã thiết bị]],EquipmentInfo[Mã thiết bị],0))</f>
        <v>Datalogger Testo 174H</v>
      </c>
      <c r="D185" s="2" t="s">
        <v>228</v>
      </c>
      <c r="E185" s="2" t="str">
        <f>IF(INDEX(EquipmentInfo[KĐ cân],PlanTable[[#This Row],[I]])=0,"",INDEX(EquipmentInfo[KĐ cân],PlanTable[[#This Row],[I]]))</f>
        <v/>
      </c>
      <c r="F185" s="2" t="str">
        <f>IF(INDEX(EquipmentInfo[KĐ áp kế],PlanTable[[#This Row],[I]])=0,"",INDEX(EquipmentInfo[KĐ áp kế],PlanTable[[#This Row],[I]]))</f>
        <v/>
      </c>
      <c r="G185" s="2" t="str">
        <f>IF(INDEX(EquipmentInfo[KĐ AT],PlanTable[[#This Row],[I]])=0,"",INDEX(EquipmentInfo[KĐ AT],PlanTable[[#This Row],[I]]))</f>
        <v/>
      </c>
      <c r="H185" s="2">
        <f>IF(INDEX(EquipmentInfo[HC],PlanTable[[#This Row],[I]])=0,"",INDEX(EquipmentInfo[HC],PlanTable[[#This Row],[I]]))</f>
        <v>12</v>
      </c>
      <c r="I185" s="2" t="str">
        <f>IF(INDEX(EquipmentInfo[BT],PlanTable[[#This Row],[I]])=0,"",INDEX(EquipmentInfo[BT],PlanTable[[#This Row],[I]]))</f>
        <v/>
      </c>
      <c r="J185" s="2" t="str">
        <f>IF(INDEX(EquipmentInfo[PQ],PlanTable[[#This Row],[I]])=0,"",INDEX(EquipmentInfo[PQ],PlanTable[[#This Row],[I]]))</f>
        <v/>
      </c>
      <c r="K185" s="2" t="s">
        <v>15</v>
      </c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 t="str">
        <f>IF(INDEX(EquipmentInfo[Thuê CQ],PlanTable[[#This Row],[I]])=0,"",INDEX(EquipmentInfo[Thuê CQ],PlanTable[[#This Row],[I]]))</f>
        <v/>
      </c>
      <c r="X185" s="2" t="str">
        <f>INDEX(EquipmentInfo[Người phụ trách],PlanTable[[#This Row],[I]])</f>
        <v>Tuấn</v>
      </c>
      <c r="Y185" s="2"/>
      <c r="Z185" s="1"/>
    </row>
    <row r="186" spans="1:26" x14ac:dyDescent="0.25">
      <c r="A186" s="2">
        <v>181</v>
      </c>
      <c r="B186" s="2">
        <f>MATCH(PlanTable[[#This Row],[Mã thiết bị]],EquipmentInfo[Mã thiết bị],0)</f>
        <v>190</v>
      </c>
      <c r="C186" s="22" t="str">
        <f>INDEX(EquipmentInfo[Tên thiết bị],MATCH(PlanTable[[#This Row],[Mã thiết bị]],EquipmentInfo[Mã thiết bị],0))</f>
        <v>Datalogger Testo 174H</v>
      </c>
      <c r="D186" s="2" t="s">
        <v>229</v>
      </c>
      <c r="E186" s="2" t="str">
        <f>IF(INDEX(EquipmentInfo[KĐ cân],PlanTable[[#This Row],[I]])=0,"",INDEX(EquipmentInfo[KĐ cân],PlanTable[[#This Row],[I]]))</f>
        <v/>
      </c>
      <c r="F186" s="2" t="str">
        <f>IF(INDEX(EquipmentInfo[KĐ áp kế],PlanTable[[#This Row],[I]])=0,"",INDEX(EquipmentInfo[KĐ áp kế],PlanTable[[#This Row],[I]]))</f>
        <v/>
      </c>
      <c r="G186" s="2" t="str">
        <f>IF(INDEX(EquipmentInfo[KĐ AT],PlanTable[[#This Row],[I]])=0,"",INDEX(EquipmentInfo[KĐ AT],PlanTable[[#This Row],[I]]))</f>
        <v/>
      </c>
      <c r="H186" s="2">
        <f>IF(INDEX(EquipmentInfo[HC],PlanTable[[#This Row],[I]])=0,"",INDEX(EquipmentInfo[HC],PlanTable[[#This Row],[I]]))</f>
        <v>12</v>
      </c>
      <c r="I186" s="2" t="str">
        <f>IF(INDEX(EquipmentInfo[BT],PlanTable[[#This Row],[I]])=0,"",INDEX(EquipmentInfo[BT],PlanTable[[#This Row],[I]]))</f>
        <v/>
      </c>
      <c r="J186" s="2" t="str">
        <f>IF(INDEX(EquipmentInfo[PQ],PlanTable[[#This Row],[I]])=0,"",INDEX(EquipmentInfo[PQ],PlanTable[[#This Row],[I]]))</f>
        <v/>
      </c>
      <c r="K186" s="2" t="s">
        <v>15</v>
      </c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 t="str">
        <f>IF(INDEX(EquipmentInfo[Thuê CQ],PlanTable[[#This Row],[I]])=0,"",INDEX(EquipmentInfo[Thuê CQ],PlanTable[[#This Row],[I]]))</f>
        <v/>
      </c>
      <c r="X186" s="2" t="str">
        <f>INDEX(EquipmentInfo[Người phụ trách],PlanTable[[#This Row],[I]])</f>
        <v>Tuấn</v>
      </c>
      <c r="Y186" s="2"/>
      <c r="Z186" s="1"/>
    </row>
    <row r="187" spans="1:26" x14ac:dyDescent="0.25">
      <c r="A187" s="2">
        <v>182</v>
      </c>
      <c r="B187" s="2">
        <f>MATCH(PlanTable[[#This Row],[Mã thiết bị]],EquipmentInfo[Mã thiết bị],0)</f>
        <v>191</v>
      </c>
      <c r="C187" s="22" t="str">
        <f>INDEX(EquipmentInfo[Tên thiết bị],MATCH(PlanTable[[#This Row],[Mã thiết bị]],EquipmentInfo[Mã thiết bị],0))</f>
        <v>Datalogger Testo 174H</v>
      </c>
      <c r="D187" s="2" t="s">
        <v>230</v>
      </c>
      <c r="E187" s="2" t="str">
        <f>IF(INDEX(EquipmentInfo[KĐ cân],PlanTable[[#This Row],[I]])=0,"",INDEX(EquipmentInfo[KĐ cân],PlanTable[[#This Row],[I]]))</f>
        <v/>
      </c>
      <c r="F187" s="2" t="str">
        <f>IF(INDEX(EquipmentInfo[KĐ áp kế],PlanTable[[#This Row],[I]])=0,"",INDEX(EquipmentInfo[KĐ áp kế],PlanTable[[#This Row],[I]]))</f>
        <v/>
      </c>
      <c r="G187" s="2" t="str">
        <f>IF(INDEX(EquipmentInfo[KĐ AT],PlanTable[[#This Row],[I]])=0,"",INDEX(EquipmentInfo[KĐ AT],PlanTable[[#This Row],[I]]))</f>
        <v/>
      </c>
      <c r="H187" s="2">
        <f>IF(INDEX(EquipmentInfo[HC],PlanTable[[#This Row],[I]])=0,"",INDEX(EquipmentInfo[HC],PlanTable[[#This Row],[I]]))</f>
        <v>12</v>
      </c>
      <c r="I187" s="2" t="str">
        <f>IF(INDEX(EquipmentInfo[BT],PlanTable[[#This Row],[I]])=0,"",INDEX(EquipmentInfo[BT],PlanTable[[#This Row],[I]]))</f>
        <v/>
      </c>
      <c r="J187" s="2" t="str">
        <f>IF(INDEX(EquipmentInfo[PQ],PlanTable[[#This Row],[I]])=0,"",INDEX(EquipmentInfo[PQ],PlanTable[[#This Row],[I]]))</f>
        <v/>
      </c>
      <c r="K187" s="2" t="s">
        <v>15</v>
      </c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 t="str">
        <f>IF(INDEX(EquipmentInfo[Thuê CQ],PlanTable[[#This Row],[I]])=0,"",INDEX(EquipmentInfo[Thuê CQ],PlanTable[[#This Row],[I]]))</f>
        <v/>
      </c>
      <c r="X187" s="2" t="str">
        <f>INDEX(EquipmentInfo[Người phụ trách],PlanTable[[#This Row],[I]])</f>
        <v>Tuấn</v>
      </c>
      <c r="Y187" s="2"/>
      <c r="Z187" s="1"/>
    </row>
    <row r="188" spans="1:26" x14ac:dyDescent="0.25">
      <c r="A188" s="2">
        <v>183</v>
      </c>
      <c r="B188" s="2">
        <f>MATCH(PlanTable[[#This Row],[Mã thiết bị]],EquipmentInfo[Mã thiết bị],0)</f>
        <v>192</v>
      </c>
      <c r="C188" s="22" t="str">
        <f>INDEX(EquipmentInfo[Tên thiết bị],MATCH(PlanTable[[#This Row],[Mã thiết bị]],EquipmentInfo[Mã thiết bị],0))</f>
        <v>Datalogger Testo 174H</v>
      </c>
      <c r="D188" s="2" t="s">
        <v>231</v>
      </c>
      <c r="E188" s="2" t="str">
        <f>IF(INDEX(EquipmentInfo[KĐ cân],PlanTable[[#This Row],[I]])=0,"",INDEX(EquipmentInfo[KĐ cân],PlanTable[[#This Row],[I]]))</f>
        <v/>
      </c>
      <c r="F188" s="2" t="str">
        <f>IF(INDEX(EquipmentInfo[KĐ áp kế],PlanTable[[#This Row],[I]])=0,"",INDEX(EquipmentInfo[KĐ áp kế],PlanTable[[#This Row],[I]]))</f>
        <v/>
      </c>
      <c r="G188" s="2" t="str">
        <f>IF(INDEX(EquipmentInfo[KĐ AT],PlanTable[[#This Row],[I]])=0,"",INDEX(EquipmentInfo[KĐ AT],PlanTable[[#This Row],[I]]))</f>
        <v/>
      </c>
      <c r="H188" s="2">
        <f>IF(INDEX(EquipmentInfo[HC],PlanTable[[#This Row],[I]])=0,"",INDEX(EquipmentInfo[HC],PlanTable[[#This Row],[I]]))</f>
        <v>12</v>
      </c>
      <c r="I188" s="2" t="str">
        <f>IF(INDEX(EquipmentInfo[BT],PlanTable[[#This Row],[I]])=0,"",INDEX(EquipmentInfo[BT],PlanTable[[#This Row],[I]]))</f>
        <v/>
      </c>
      <c r="J188" s="2" t="str">
        <f>IF(INDEX(EquipmentInfo[PQ],PlanTable[[#This Row],[I]])=0,"",INDEX(EquipmentInfo[PQ],PlanTable[[#This Row],[I]]))</f>
        <v/>
      </c>
      <c r="K188" s="2" t="s">
        <v>15</v>
      </c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 t="str">
        <f>IF(INDEX(EquipmentInfo[Thuê CQ],PlanTable[[#This Row],[I]])=0,"",INDEX(EquipmentInfo[Thuê CQ],PlanTable[[#This Row],[I]]))</f>
        <v/>
      </c>
      <c r="X188" s="2" t="str">
        <f>INDEX(EquipmentInfo[Người phụ trách],PlanTable[[#This Row],[I]])</f>
        <v>Tuấn</v>
      </c>
      <c r="Y188" s="2"/>
      <c r="Z188" s="1"/>
    </row>
    <row r="189" spans="1:26" x14ac:dyDescent="0.25">
      <c r="A189" s="2">
        <v>184</v>
      </c>
      <c r="B189" s="2">
        <f>MATCH(PlanTable[[#This Row],[Mã thiết bị]],EquipmentInfo[Mã thiết bị],0)</f>
        <v>193</v>
      </c>
      <c r="C189" s="22" t="str">
        <f>INDEX(EquipmentInfo[Tên thiết bị],MATCH(PlanTable[[#This Row],[Mã thiết bị]],EquipmentInfo[Mã thiết bị],0))</f>
        <v>Datalogger Testo 174H</v>
      </c>
      <c r="D189" s="2" t="s">
        <v>232</v>
      </c>
      <c r="E189" s="2" t="str">
        <f>IF(INDEX(EquipmentInfo[KĐ cân],PlanTable[[#This Row],[I]])=0,"",INDEX(EquipmentInfo[KĐ cân],PlanTable[[#This Row],[I]]))</f>
        <v/>
      </c>
      <c r="F189" s="2" t="str">
        <f>IF(INDEX(EquipmentInfo[KĐ áp kế],PlanTable[[#This Row],[I]])=0,"",INDEX(EquipmentInfo[KĐ áp kế],PlanTable[[#This Row],[I]]))</f>
        <v/>
      </c>
      <c r="G189" s="2" t="str">
        <f>IF(INDEX(EquipmentInfo[KĐ AT],PlanTable[[#This Row],[I]])=0,"",INDEX(EquipmentInfo[KĐ AT],PlanTable[[#This Row],[I]]))</f>
        <v/>
      </c>
      <c r="H189" s="2">
        <f>IF(INDEX(EquipmentInfo[HC],PlanTable[[#This Row],[I]])=0,"",INDEX(EquipmentInfo[HC],PlanTable[[#This Row],[I]]))</f>
        <v>12</v>
      </c>
      <c r="I189" s="2" t="str">
        <f>IF(INDEX(EquipmentInfo[BT],PlanTable[[#This Row],[I]])=0,"",INDEX(EquipmentInfo[BT],PlanTable[[#This Row],[I]]))</f>
        <v/>
      </c>
      <c r="J189" s="2" t="str">
        <f>IF(INDEX(EquipmentInfo[PQ],PlanTable[[#This Row],[I]])=0,"",INDEX(EquipmentInfo[PQ],PlanTable[[#This Row],[I]]))</f>
        <v/>
      </c>
      <c r="K189" s="2" t="s">
        <v>15</v>
      </c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 t="str">
        <f>IF(INDEX(EquipmentInfo[Thuê CQ],PlanTable[[#This Row],[I]])=0,"",INDEX(EquipmentInfo[Thuê CQ],PlanTable[[#This Row],[I]]))</f>
        <v/>
      </c>
      <c r="X189" s="2" t="str">
        <f>INDEX(EquipmentInfo[Người phụ trách],PlanTable[[#This Row],[I]])</f>
        <v>Tuấn</v>
      </c>
      <c r="Y189" s="2"/>
      <c r="Z189" s="1"/>
    </row>
    <row r="190" spans="1:26" x14ac:dyDescent="0.25">
      <c r="A190" s="2">
        <v>185</v>
      </c>
      <c r="B190" s="2">
        <f>MATCH(PlanTable[[#This Row],[Mã thiết bị]],EquipmentInfo[Mã thiết bị],0)</f>
        <v>194</v>
      </c>
      <c r="C190" s="22" t="str">
        <f>INDEX(EquipmentInfo[Tên thiết bị],MATCH(PlanTable[[#This Row],[Mã thiết bị]],EquipmentInfo[Mã thiết bị],0))</f>
        <v>Datalogger Testo Saveris 2-H1</v>
      </c>
      <c r="D190" s="2" t="s">
        <v>233</v>
      </c>
      <c r="E190" s="2" t="str">
        <f>IF(INDEX(EquipmentInfo[KĐ cân],PlanTable[[#This Row],[I]])=0,"",INDEX(EquipmentInfo[KĐ cân],PlanTable[[#This Row],[I]]))</f>
        <v/>
      </c>
      <c r="F190" s="2" t="str">
        <f>IF(INDEX(EquipmentInfo[KĐ áp kế],PlanTable[[#This Row],[I]])=0,"",INDEX(EquipmentInfo[KĐ áp kế],PlanTable[[#This Row],[I]]))</f>
        <v/>
      </c>
      <c r="G190" s="2" t="str">
        <f>IF(INDEX(EquipmentInfo[KĐ AT],PlanTable[[#This Row],[I]])=0,"",INDEX(EquipmentInfo[KĐ AT],PlanTable[[#This Row],[I]]))</f>
        <v/>
      </c>
      <c r="H190" s="2">
        <f>IF(INDEX(EquipmentInfo[HC],PlanTable[[#This Row],[I]])=0,"",INDEX(EquipmentInfo[HC],PlanTable[[#This Row],[I]]))</f>
        <v>12</v>
      </c>
      <c r="I190" s="2" t="str">
        <f>IF(INDEX(EquipmentInfo[BT],PlanTable[[#This Row],[I]])=0,"",INDEX(EquipmentInfo[BT],PlanTable[[#This Row],[I]]))</f>
        <v/>
      </c>
      <c r="J190" s="2" t="str">
        <f>IF(INDEX(EquipmentInfo[PQ],PlanTable[[#This Row],[I]])=0,"",INDEX(EquipmentInfo[PQ],PlanTable[[#This Row],[I]]))</f>
        <v/>
      </c>
      <c r="K190" s="2" t="s">
        <v>15</v>
      </c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 t="str">
        <f>IF(INDEX(EquipmentInfo[Thuê CQ],PlanTable[[#This Row],[I]])=0,"",INDEX(EquipmentInfo[Thuê CQ],PlanTable[[#This Row],[I]]))</f>
        <v/>
      </c>
      <c r="X190" s="2" t="str">
        <f>INDEX(EquipmentInfo[Người phụ trách],PlanTable[[#This Row],[I]])</f>
        <v>Tuấn</v>
      </c>
      <c r="Y190" s="2"/>
      <c r="Z190" s="1"/>
    </row>
    <row r="191" spans="1:26" x14ac:dyDescent="0.25">
      <c r="A191" s="2">
        <v>186</v>
      </c>
      <c r="B191" s="2">
        <f>MATCH(PlanTable[[#This Row],[Mã thiết bị]],EquipmentInfo[Mã thiết bị],0)</f>
        <v>195</v>
      </c>
      <c r="C191" s="22" t="str">
        <f>INDEX(EquipmentInfo[Tên thiết bị],MATCH(PlanTable[[#This Row],[Mã thiết bị]],EquipmentInfo[Mã thiết bị],0))</f>
        <v>Datalogger Testo Saveris 2-H1</v>
      </c>
      <c r="D191" s="2" t="s">
        <v>234</v>
      </c>
      <c r="E191" s="2" t="str">
        <f>IF(INDEX(EquipmentInfo[KĐ cân],PlanTable[[#This Row],[I]])=0,"",INDEX(EquipmentInfo[KĐ cân],PlanTable[[#This Row],[I]]))</f>
        <v/>
      </c>
      <c r="F191" s="2" t="str">
        <f>IF(INDEX(EquipmentInfo[KĐ áp kế],PlanTable[[#This Row],[I]])=0,"",INDEX(EquipmentInfo[KĐ áp kế],PlanTable[[#This Row],[I]]))</f>
        <v/>
      </c>
      <c r="G191" s="2" t="str">
        <f>IF(INDEX(EquipmentInfo[KĐ AT],PlanTable[[#This Row],[I]])=0,"",INDEX(EquipmentInfo[KĐ AT],PlanTable[[#This Row],[I]]))</f>
        <v/>
      </c>
      <c r="H191" s="2">
        <f>IF(INDEX(EquipmentInfo[HC],PlanTable[[#This Row],[I]])=0,"",INDEX(EquipmentInfo[HC],PlanTable[[#This Row],[I]]))</f>
        <v>12</v>
      </c>
      <c r="I191" s="2" t="str">
        <f>IF(INDEX(EquipmentInfo[BT],PlanTable[[#This Row],[I]])=0,"",INDEX(EquipmentInfo[BT],PlanTable[[#This Row],[I]]))</f>
        <v/>
      </c>
      <c r="J191" s="2" t="str">
        <f>IF(INDEX(EquipmentInfo[PQ],PlanTable[[#This Row],[I]])=0,"",INDEX(EquipmentInfo[PQ],PlanTable[[#This Row],[I]]))</f>
        <v/>
      </c>
      <c r="K191" s="2" t="s">
        <v>15</v>
      </c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 t="str">
        <f>IF(INDEX(EquipmentInfo[Thuê CQ],PlanTable[[#This Row],[I]])=0,"",INDEX(EquipmentInfo[Thuê CQ],PlanTable[[#This Row],[I]]))</f>
        <v/>
      </c>
      <c r="X191" s="2" t="str">
        <f>INDEX(EquipmentInfo[Người phụ trách],PlanTable[[#This Row],[I]])</f>
        <v>Tuấn</v>
      </c>
      <c r="Y191" s="2"/>
      <c r="Z191" s="1"/>
    </row>
    <row r="192" spans="1:26" x14ac:dyDescent="0.25">
      <c r="A192" s="2">
        <v>187</v>
      </c>
      <c r="B192" s="2">
        <f>MATCH(PlanTable[[#This Row],[Mã thiết bị]],EquipmentInfo[Mã thiết bị],0)</f>
        <v>196</v>
      </c>
      <c r="C192" s="22" t="str">
        <f>INDEX(EquipmentInfo[Tên thiết bị],MATCH(PlanTable[[#This Row],[Mã thiết bị]],EquipmentInfo[Mã thiết bị],0))</f>
        <v>Datalogger Testo Saveris 2-H1</v>
      </c>
      <c r="D192" s="2" t="s">
        <v>235</v>
      </c>
      <c r="E192" s="2" t="str">
        <f>IF(INDEX(EquipmentInfo[KĐ cân],PlanTable[[#This Row],[I]])=0,"",INDEX(EquipmentInfo[KĐ cân],PlanTable[[#This Row],[I]]))</f>
        <v/>
      </c>
      <c r="F192" s="2" t="str">
        <f>IF(INDEX(EquipmentInfo[KĐ áp kế],PlanTable[[#This Row],[I]])=0,"",INDEX(EquipmentInfo[KĐ áp kế],PlanTable[[#This Row],[I]]))</f>
        <v/>
      </c>
      <c r="G192" s="2" t="str">
        <f>IF(INDEX(EquipmentInfo[KĐ AT],PlanTable[[#This Row],[I]])=0,"",INDEX(EquipmentInfo[KĐ AT],PlanTable[[#This Row],[I]]))</f>
        <v/>
      </c>
      <c r="H192" s="2">
        <f>IF(INDEX(EquipmentInfo[HC],PlanTable[[#This Row],[I]])=0,"",INDEX(EquipmentInfo[HC],PlanTable[[#This Row],[I]]))</f>
        <v>12</v>
      </c>
      <c r="I192" s="2" t="str">
        <f>IF(INDEX(EquipmentInfo[BT],PlanTable[[#This Row],[I]])=0,"",INDEX(EquipmentInfo[BT],PlanTable[[#This Row],[I]]))</f>
        <v/>
      </c>
      <c r="J192" s="2" t="str">
        <f>IF(INDEX(EquipmentInfo[PQ],PlanTable[[#This Row],[I]])=0,"",INDEX(EquipmentInfo[PQ],PlanTable[[#This Row],[I]]))</f>
        <v/>
      </c>
      <c r="K192" s="2" t="s">
        <v>15</v>
      </c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 t="str">
        <f>IF(INDEX(EquipmentInfo[Thuê CQ],PlanTable[[#This Row],[I]])=0,"",INDEX(EquipmentInfo[Thuê CQ],PlanTable[[#This Row],[I]]))</f>
        <v/>
      </c>
      <c r="X192" s="2" t="str">
        <f>INDEX(EquipmentInfo[Người phụ trách],PlanTable[[#This Row],[I]])</f>
        <v>Tuấn</v>
      </c>
      <c r="Y192" s="2"/>
      <c r="Z192" s="1"/>
    </row>
    <row r="193" spans="1:26" x14ac:dyDescent="0.25">
      <c r="A193" s="2">
        <v>188</v>
      </c>
      <c r="B193" s="2">
        <f>MATCH(PlanTable[[#This Row],[Mã thiết bị]],EquipmentInfo[Mã thiết bị],0)</f>
        <v>197</v>
      </c>
      <c r="C193" s="22" t="str">
        <f>INDEX(EquipmentInfo[Tên thiết bị],MATCH(PlanTable[[#This Row],[Mã thiết bị]],EquipmentInfo[Mã thiết bị],0))</f>
        <v>Datalogger Testo Saveris 2-H1</v>
      </c>
      <c r="D193" s="2" t="s">
        <v>236</v>
      </c>
      <c r="E193" s="2" t="str">
        <f>IF(INDEX(EquipmentInfo[KĐ cân],PlanTable[[#This Row],[I]])=0,"",INDEX(EquipmentInfo[KĐ cân],PlanTable[[#This Row],[I]]))</f>
        <v/>
      </c>
      <c r="F193" s="2" t="str">
        <f>IF(INDEX(EquipmentInfo[KĐ áp kế],PlanTable[[#This Row],[I]])=0,"",INDEX(EquipmentInfo[KĐ áp kế],PlanTable[[#This Row],[I]]))</f>
        <v/>
      </c>
      <c r="G193" s="2" t="str">
        <f>IF(INDEX(EquipmentInfo[KĐ AT],PlanTable[[#This Row],[I]])=0,"",INDEX(EquipmentInfo[KĐ AT],PlanTable[[#This Row],[I]]))</f>
        <v/>
      </c>
      <c r="H193" s="2">
        <f>IF(INDEX(EquipmentInfo[HC],PlanTable[[#This Row],[I]])=0,"",INDEX(EquipmentInfo[HC],PlanTable[[#This Row],[I]]))</f>
        <v>12</v>
      </c>
      <c r="I193" s="2" t="str">
        <f>IF(INDEX(EquipmentInfo[BT],PlanTable[[#This Row],[I]])=0,"",INDEX(EquipmentInfo[BT],PlanTable[[#This Row],[I]]))</f>
        <v/>
      </c>
      <c r="J193" s="2" t="str">
        <f>IF(INDEX(EquipmentInfo[PQ],PlanTable[[#This Row],[I]])=0,"",INDEX(EquipmentInfo[PQ],PlanTable[[#This Row],[I]]))</f>
        <v/>
      </c>
      <c r="K193" s="2" t="s">
        <v>15</v>
      </c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 t="str">
        <f>IF(INDEX(EquipmentInfo[Thuê CQ],PlanTable[[#This Row],[I]])=0,"",INDEX(EquipmentInfo[Thuê CQ],PlanTable[[#This Row],[I]]))</f>
        <v/>
      </c>
      <c r="X193" s="2" t="str">
        <f>INDEX(EquipmentInfo[Người phụ trách],PlanTable[[#This Row],[I]])</f>
        <v>Tuấn</v>
      </c>
      <c r="Y193" s="2"/>
      <c r="Z193" s="1"/>
    </row>
    <row r="194" spans="1:26" x14ac:dyDescent="0.25">
      <c r="A194" s="2">
        <v>189</v>
      </c>
      <c r="B194" s="2">
        <f>MATCH(PlanTable[[#This Row],[Mã thiết bị]],EquipmentInfo[Mã thiết bị],0)</f>
        <v>198</v>
      </c>
      <c r="C194" s="22" t="str">
        <f>INDEX(EquipmentInfo[Tên thiết bị],MATCH(PlanTable[[#This Row],[Mã thiết bị]],EquipmentInfo[Mã thiết bị],0))</f>
        <v>Datalogger Testo Saveris 2-H1</v>
      </c>
      <c r="D194" s="2" t="s">
        <v>237</v>
      </c>
      <c r="E194" s="2" t="str">
        <f>IF(INDEX(EquipmentInfo[KĐ cân],PlanTable[[#This Row],[I]])=0,"",INDEX(EquipmentInfo[KĐ cân],PlanTable[[#This Row],[I]]))</f>
        <v/>
      </c>
      <c r="F194" s="2" t="str">
        <f>IF(INDEX(EquipmentInfo[KĐ áp kế],PlanTable[[#This Row],[I]])=0,"",INDEX(EquipmentInfo[KĐ áp kế],PlanTable[[#This Row],[I]]))</f>
        <v/>
      </c>
      <c r="G194" s="2" t="str">
        <f>IF(INDEX(EquipmentInfo[KĐ AT],PlanTable[[#This Row],[I]])=0,"",INDEX(EquipmentInfo[KĐ AT],PlanTable[[#This Row],[I]]))</f>
        <v/>
      </c>
      <c r="H194" s="2">
        <f>IF(INDEX(EquipmentInfo[HC],PlanTable[[#This Row],[I]])=0,"",INDEX(EquipmentInfo[HC],PlanTable[[#This Row],[I]]))</f>
        <v>12</v>
      </c>
      <c r="I194" s="2" t="str">
        <f>IF(INDEX(EquipmentInfo[BT],PlanTable[[#This Row],[I]])=0,"",INDEX(EquipmentInfo[BT],PlanTable[[#This Row],[I]]))</f>
        <v/>
      </c>
      <c r="J194" s="2" t="str">
        <f>IF(INDEX(EquipmentInfo[PQ],PlanTable[[#This Row],[I]])=0,"",INDEX(EquipmentInfo[PQ],PlanTable[[#This Row],[I]]))</f>
        <v/>
      </c>
      <c r="K194" s="2" t="s">
        <v>15</v>
      </c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 t="str">
        <f>IF(INDEX(EquipmentInfo[Thuê CQ],PlanTable[[#This Row],[I]])=0,"",INDEX(EquipmentInfo[Thuê CQ],PlanTable[[#This Row],[I]]))</f>
        <v/>
      </c>
      <c r="X194" s="2" t="str">
        <f>INDEX(EquipmentInfo[Người phụ trách],PlanTable[[#This Row],[I]])</f>
        <v>Tuấn</v>
      </c>
      <c r="Y194" s="2"/>
      <c r="Z194" s="1"/>
    </row>
    <row r="195" spans="1:26" x14ac:dyDescent="0.25">
      <c r="A195" s="2">
        <v>190</v>
      </c>
      <c r="B195" s="2">
        <f>MATCH(PlanTable[[#This Row],[Mã thiết bị]],EquipmentInfo[Mã thiết bị],0)</f>
        <v>199</v>
      </c>
      <c r="C195" s="22" t="str">
        <f>INDEX(EquipmentInfo[Tên thiết bị],MATCH(PlanTable[[#This Row],[Mã thiết bị]],EquipmentInfo[Mã thiết bị],0))</f>
        <v>Datalogger Testo 174H</v>
      </c>
      <c r="D195" s="2" t="s">
        <v>238</v>
      </c>
      <c r="E195" s="2" t="str">
        <f>IF(INDEX(EquipmentInfo[KĐ cân],PlanTable[[#This Row],[I]])=0,"",INDEX(EquipmentInfo[KĐ cân],PlanTable[[#This Row],[I]]))</f>
        <v/>
      </c>
      <c r="F195" s="2" t="str">
        <f>IF(INDEX(EquipmentInfo[KĐ áp kế],PlanTable[[#This Row],[I]])=0,"",INDEX(EquipmentInfo[KĐ áp kế],PlanTable[[#This Row],[I]]))</f>
        <v/>
      </c>
      <c r="G195" s="2" t="str">
        <f>IF(INDEX(EquipmentInfo[KĐ AT],PlanTable[[#This Row],[I]])=0,"",INDEX(EquipmentInfo[KĐ AT],PlanTable[[#This Row],[I]]))</f>
        <v/>
      </c>
      <c r="H195" s="2">
        <f>IF(INDEX(EquipmentInfo[HC],PlanTable[[#This Row],[I]])=0,"",INDEX(EquipmentInfo[HC],PlanTable[[#This Row],[I]]))</f>
        <v>12</v>
      </c>
      <c r="I195" s="2" t="str">
        <f>IF(INDEX(EquipmentInfo[BT],PlanTable[[#This Row],[I]])=0,"",INDEX(EquipmentInfo[BT],PlanTable[[#This Row],[I]]))</f>
        <v/>
      </c>
      <c r="J195" s="2" t="str">
        <f>IF(INDEX(EquipmentInfo[PQ],PlanTable[[#This Row],[I]])=0,"",INDEX(EquipmentInfo[PQ],PlanTable[[#This Row],[I]]))</f>
        <v/>
      </c>
      <c r="K195" s="2" t="s">
        <v>15</v>
      </c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 t="str">
        <f>IF(INDEX(EquipmentInfo[Thuê CQ],PlanTable[[#This Row],[I]])=0,"",INDEX(EquipmentInfo[Thuê CQ],PlanTable[[#This Row],[I]]))</f>
        <v/>
      </c>
      <c r="X195" s="2" t="str">
        <f>INDEX(EquipmentInfo[Người phụ trách],PlanTable[[#This Row],[I]])</f>
        <v>Tuấn</v>
      </c>
      <c r="Y195" s="2"/>
      <c r="Z195" s="1"/>
    </row>
    <row r="196" spans="1:26" x14ac:dyDescent="0.25">
      <c r="A196" s="2">
        <v>191</v>
      </c>
      <c r="B196" s="2">
        <f>MATCH(PlanTable[[#This Row],[Mã thiết bị]],EquipmentInfo[Mã thiết bị],0)</f>
        <v>200</v>
      </c>
      <c r="C196" s="22" t="str">
        <f>INDEX(EquipmentInfo[Tên thiết bị],MATCH(PlanTable[[#This Row],[Mã thiết bị]],EquipmentInfo[Mã thiết bị],0))</f>
        <v>Nhiệt ẩm kế</v>
      </c>
      <c r="D196" s="2" t="s">
        <v>239</v>
      </c>
      <c r="E196" s="2" t="str">
        <f>IF(INDEX(EquipmentInfo[KĐ cân],PlanTable[[#This Row],[I]])=0,"",INDEX(EquipmentInfo[KĐ cân],PlanTable[[#This Row],[I]]))</f>
        <v/>
      </c>
      <c r="F196" s="2" t="str">
        <f>IF(INDEX(EquipmentInfo[KĐ áp kế],PlanTable[[#This Row],[I]])=0,"",INDEX(EquipmentInfo[KĐ áp kế],PlanTable[[#This Row],[I]]))</f>
        <v/>
      </c>
      <c r="G196" s="2" t="str">
        <f>IF(INDEX(EquipmentInfo[KĐ AT],PlanTable[[#This Row],[I]])=0,"",INDEX(EquipmentInfo[KĐ AT],PlanTable[[#This Row],[I]]))</f>
        <v/>
      </c>
      <c r="H196" s="2">
        <f>IF(INDEX(EquipmentInfo[HC],PlanTable[[#This Row],[I]])=0,"",INDEX(EquipmentInfo[HC],PlanTable[[#This Row],[I]]))</f>
        <v>12</v>
      </c>
      <c r="I196" s="2" t="str">
        <f>IF(INDEX(EquipmentInfo[BT],PlanTable[[#This Row],[I]])=0,"",INDEX(EquipmentInfo[BT],PlanTable[[#This Row],[I]]))</f>
        <v/>
      </c>
      <c r="J196" s="2" t="str">
        <f>IF(INDEX(EquipmentInfo[PQ],PlanTable[[#This Row],[I]])=0,"",INDEX(EquipmentInfo[PQ],PlanTable[[#This Row],[I]]))</f>
        <v/>
      </c>
      <c r="K196" s="2"/>
      <c r="L196" s="2"/>
      <c r="M196" s="2"/>
      <c r="N196" s="2"/>
      <c r="O196" s="2" t="s">
        <v>15</v>
      </c>
      <c r="P196" s="2"/>
      <c r="Q196" s="2"/>
      <c r="R196" s="2"/>
      <c r="S196" s="2"/>
      <c r="T196" s="2"/>
      <c r="U196" s="2"/>
      <c r="V196" s="2"/>
      <c r="W196" s="2" t="str">
        <f>IF(INDEX(EquipmentInfo[Thuê CQ],PlanTable[[#This Row],[I]])=0,"",INDEX(EquipmentInfo[Thuê CQ],PlanTable[[#This Row],[I]]))</f>
        <v/>
      </c>
      <c r="X196" s="2" t="str">
        <f>INDEX(EquipmentInfo[Người phụ trách],PlanTable[[#This Row],[I]])</f>
        <v>P. HCQT</v>
      </c>
      <c r="Y196" s="2"/>
      <c r="Z196" s="1"/>
    </row>
    <row r="197" spans="1:26" x14ac:dyDescent="0.25">
      <c r="A197" s="2">
        <v>192</v>
      </c>
      <c r="B197" s="2">
        <f>MATCH(PlanTable[[#This Row],[Mã thiết bị]],EquipmentInfo[Mã thiết bị],0)</f>
        <v>201</v>
      </c>
      <c r="C197" s="22" t="str">
        <f>INDEX(EquipmentInfo[Tên thiết bị],MATCH(PlanTable[[#This Row],[Mã thiết bị]],EquipmentInfo[Mã thiết bị],0))</f>
        <v>Nhiệt ẩm kế</v>
      </c>
      <c r="D197" s="2" t="s">
        <v>240</v>
      </c>
      <c r="E197" s="2" t="str">
        <f>IF(INDEX(EquipmentInfo[KĐ cân],PlanTable[[#This Row],[I]])=0,"",INDEX(EquipmentInfo[KĐ cân],PlanTable[[#This Row],[I]]))</f>
        <v/>
      </c>
      <c r="F197" s="2" t="str">
        <f>IF(INDEX(EquipmentInfo[KĐ áp kế],PlanTable[[#This Row],[I]])=0,"",INDEX(EquipmentInfo[KĐ áp kế],PlanTable[[#This Row],[I]]))</f>
        <v/>
      </c>
      <c r="G197" s="2" t="str">
        <f>IF(INDEX(EquipmentInfo[KĐ AT],PlanTable[[#This Row],[I]])=0,"",INDEX(EquipmentInfo[KĐ AT],PlanTable[[#This Row],[I]]))</f>
        <v/>
      </c>
      <c r="H197" s="2">
        <f>IF(INDEX(EquipmentInfo[HC],PlanTable[[#This Row],[I]])=0,"",INDEX(EquipmentInfo[HC],PlanTable[[#This Row],[I]]))</f>
        <v>12</v>
      </c>
      <c r="I197" s="2" t="str">
        <f>IF(INDEX(EquipmentInfo[BT],PlanTable[[#This Row],[I]])=0,"",INDEX(EquipmentInfo[BT],PlanTable[[#This Row],[I]]))</f>
        <v/>
      </c>
      <c r="J197" s="2" t="str">
        <f>IF(INDEX(EquipmentInfo[PQ],PlanTable[[#This Row],[I]])=0,"",INDEX(EquipmentInfo[PQ],PlanTable[[#This Row],[I]]))</f>
        <v/>
      </c>
      <c r="K197" s="2"/>
      <c r="L197" s="2"/>
      <c r="M197" s="2"/>
      <c r="N197" s="2"/>
      <c r="O197" s="2" t="s">
        <v>15</v>
      </c>
      <c r="P197" s="2"/>
      <c r="Q197" s="2"/>
      <c r="R197" s="2"/>
      <c r="S197" s="2"/>
      <c r="T197" s="2"/>
      <c r="U197" s="2"/>
      <c r="V197" s="2"/>
      <c r="W197" s="2" t="str">
        <f>IF(INDEX(EquipmentInfo[Thuê CQ],PlanTable[[#This Row],[I]])=0,"",INDEX(EquipmentInfo[Thuê CQ],PlanTable[[#This Row],[I]]))</f>
        <v/>
      </c>
      <c r="X197" s="2" t="str">
        <f>INDEX(EquipmentInfo[Người phụ trách],PlanTable[[#This Row],[I]])</f>
        <v>P. HCQT</v>
      </c>
      <c r="Y197" s="2"/>
      <c r="Z197" s="1"/>
    </row>
    <row r="198" spans="1:26" x14ac:dyDescent="0.25">
      <c r="A198" s="2">
        <v>193</v>
      </c>
      <c r="B198" s="2">
        <f>MATCH(PlanTable[[#This Row],[Mã thiết bị]],EquipmentInfo[Mã thiết bị],0)</f>
        <v>202</v>
      </c>
      <c r="C198" s="22" t="str">
        <f>INDEX(EquipmentInfo[Tên thiết bị],MATCH(PlanTable[[#This Row],[Mã thiết bị]],EquipmentInfo[Mã thiết bị],0))</f>
        <v>Nhiệt ẩm kế</v>
      </c>
      <c r="D198" s="2" t="s">
        <v>241</v>
      </c>
      <c r="E198" s="2" t="str">
        <f>IF(INDEX(EquipmentInfo[KĐ cân],PlanTable[[#This Row],[I]])=0,"",INDEX(EquipmentInfo[KĐ cân],PlanTable[[#This Row],[I]]))</f>
        <v/>
      </c>
      <c r="F198" s="2" t="str">
        <f>IF(INDEX(EquipmentInfo[KĐ áp kế],PlanTable[[#This Row],[I]])=0,"",INDEX(EquipmentInfo[KĐ áp kế],PlanTable[[#This Row],[I]]))</f>
        <v/>
      </c>
      <c r="G198" s="2" t="str">
        <f>IF(INDEX(EquipmentInfo[KĐ AT],PlanTable[[#This Row],[I]])=0,"",INDEX(EquipmentInfo[KĐ AT],PlanTable[[#This Row],[I]]))</f>
        <v/>
      </c>
      <c r="H198" s="2">
        <f>IF(INDEX(EquipmentInfo[HC],PlanTable[[#This Row],[I]])=0,"",INDEX(EquipmentInfo[HC],PlanTable[[#This Row],[I]]))</f>
        <v>12</v>
      </c>
      <c r="I198" s="2" t="str">
        <f>IF(INDEX(EquipmentInfo[BT],PlanTable[[#This Row],[I]])=0,"",INDEX(EquipmentInfo[BT],PlanTable[[#This Row],[I]]))</f>
        <v/>
      </c>
      <c r="J198" s="2" t="str">
        <f>IF(INDEX(EquipmentInfo[PQ],PlanTable[[#This Row],[I]])=0,"",INDEX(EquipmentInfo[PQ],PlanTable[[#This Row],[I]]))</f>
        <v/>
      </c>
      <c r="K198" s="2"/>
      <c r="L198" s="2"/>
      <c r="M198" s="2"/>
      <c r="N198" s="2"/>
      <c r="O198" s="2" t="s">
        <v>15</v>
      </c>
      <c r="P198" s="2"/>
      <c r="Q198" s="2"/>
      <c r="R198" s="2"/>
      <c r="S198" s="2"/>
      <c r="T198" s="2"/>
      <c r="U198" s="2"/>
      <c r="V198" s="2"/>
      <c r="W198" s="2" t="str">
        <f>IF(INDEX(EquipmentInfo[Thuê CQ],PlanTable[[#This Row],[I]])=0,"",INDEX(EquipmentInfo[Thuê CQ],PlanTable[[#This Row],[I]]))</f>
        <v/>
      </c>
      <c r="X198" s="2" t="str">
        <f>INDEX(EquipmentInfo[Người phụ trách],PlanTable[[#This Row],[I]])</f>
        <v>P. HCQT</v>
      </c>
      <c r="Y198" s="2"/>
      <c r="Z198" s="1"/>
    </row>
    <row r="199" spans="1:26" x14ac:dyDescent="0.25">
      <c r="A199" s="2">
        <v>194</v>
      </c>
      <c r="B199" s="2">
        <f>MATCH(PlanTable[[#This Row],[Mã thiết bị]],EquipmentInfo[Mã thiết bị],0)</f>
        <v>203</v>
      </c>
      <c r="C199" s="22" t="str">
        <f>INDEX(EquipmentInfo[Tên thiết bị],MATCH(PlanTable[[#This Row],[Mã thiết bị]],EquipmentInfo[Mã thiết bị],0))</f>
        <v>Nhiệt ẩm kế</v>
      </c>
      <c r="D199" s="2" t="s">
        <v>242</v>
      </c>
      <c r="E199" s="2" t="str">
        <f>IF(INDEX(EquipmentInfo[KĐ cân],PlanTable[[#This Row],[I]])=0,"",INDEX(EquipmentInfo[KĐ cân],PlanTable[[#This Row],[I]]))</f>
        <v/>
      </c>
      <c r="F199" s="2" t="str">
        <f>IF(INDEX(EquipmentInfo[KĐ áp kế],PlanTable[[#This Row],[I]])=0,"",INDEX(EquipmentInfo[KĐ áp kế],PlanTable[[#This Row],[I]]))</f>
        <v/>
      </c>
      <c r="G199" s="2" t="str">
        <f>IF(INDEX(EquipmentInfo[KĐ AT],PlanTable[[#This Row],[I]])=0,"",INDEX(EquipmentInfo[KĐ AT],PlanTable[[#This Row],[I]]))</f>
        <v/>
      </c>
      <c r="H199" s="2">
        <f>IF(INDEX(EquipmentInfo[HC],PlanTable[[#This Row],[I]])=0,"",INDEX(EquipmentInfo[HC],PlanTable[[#This Row],[I]]))</f>
        <v>12</v>
      </c>
      <c r="I199" s="2" t="str">
        <f>IF(INDEX(EquipmentInfo[BT],PlanTable[[#This Row],[I]])=0,"",INDEX(EquipmentInfo[BT],PlanTable[[#This Row],[I]]))</f>
        <v/>
      </c>
      <c r="J199" s="2" t="str">
        <f>IF(INDEX(EquipmentInfo[PQ],PlanTable[[#This Row],[I]])=0,"",INDEX(EquipmentInfo[PQ],PlanTable[[#This Row],[I]]))</f>
        <v/>
      </c>
      <c r="K199" s="2"/>
      <c r="L199" s="2"/>
      <c r="M199" s="2"/>
      <c r="N199" s="2"/>
      <c r="O199" s="2" t="s">
        <v>15</v>
      </c>
      <c r="P199" s="2"/>
      <c r="Q199" s="2"/>
      <c r="R199" s="2"/>
      <c r="S199" s="2"/>
      <c r="T199" s="2"/>
      <c r="U199" s="2"/>
      <c r="V199" s="2"/>
      <c r="W199" s="2" t="str">
        <f>IF(INDEX(EquipmentInfo[Thuê CQ],PlanTable[[#This Row],[I]])=0,"",INDEX(EquipmentInfo[Thuê CQ],PlanTable[[#This Row],[I]]))</f>
        <v/>
      </c>
      <c r="X199" s="2" t="str">
        <f>INDEX(EquipmentInfo[Người phụ trách],PlanTable[[#This Row],[I]])</f>
        <v>P. HCQT</v>
      </c>
      <c r="Y199" s="2"/>
      <c r="Z199" s="1"/>
    </row>
    <row r="200" spans="1:26" x14ac:dyDescent="0.25">
      <c r="A200" s="2">
        <v>195</v>
      </c>
      <c r="B200" s="2">
        <f>MATCH(PlanTable[[#This Row],[Mã thiết bị]],EquipmentInfo[Mã thiết bị],0)</f>
        <v>204</v>
      </c>
      <c r="C200" s="22" t="str">
        <f>INDEX(EquipmentInfo[Tên thiết bị],MATCH(PlanTable[[#This Row],[Mã thiết bị]],EquipmentInfo[Mã thiết bị],0))</f>
        <v>Nhiệt ẩm kế</v>
      </c>
      <c r="D200" s="2" t="s">
        <v>243</v>
      </c>
      <c r="E200" s="2" t="str">
        <f>IF(INDEX(EquipmentInfo[KĐ cân],PlanTable[[#This Row],[I]])=0,"",INDEX(EquipmentInfo[KĐ cân],PlanTable[[#This Row],[I]]))</f>
        <v/>
      </c>
      <c r="F200" s="2" t="str">
        <f>IF(INDEX(EquipmentInfo[KĐ áp kế],PlanTable[[#This Row],[I]])=0,"",INDEX(EquipmentInfo[KĐ áp kế],PlanTable[[#This Row],[I]]))</f>
        <v/>
      </c>
      <c r="G200" s="2" t="str">
        <f>IF(INDEX(EquipmentInfo[KĐ AT],PlanTable[[#This Row],[I]])=0,"",INDEX(EquipmentInfo[KĐ AT],PlanTable[[#This Row],[I]]))</f>
        <v/>
      </c>
      <c r="H200" s="2">
        <f>IF(INDEX(EquipmentInfo[HC],PlanTable[[#This Row],[I]])=0,"",INDEX(EquipmentInfo[HC],PlanTable[[#This Row],[I]]))</f>
        <v>12</v>
      </c>
      <c r="I200" s="2" t="str">
        <f>IF(INDEX(EquipmentInfo[BT],PlanTable[[#This Row],[I]])=0,"",INDEX(EquipmentInfo[BT],PlanTable[[#This Row],[I]]))</f>
        <v/>
      </c>
      <c r="J200" s="2" t="str">
        <f>IF(INDEX(EquipmentInfo[PQ],PlanTable[[#This Row],[I]])=0,"",INDEX(EquipmentInfo[PQ],PlanTable[[#This Row],[I]]))</f>
        <v/>
      </c>
      <c r="K200" s="2"/>
      <c r="L200" s="2"/>
      <c r="M200" s="2"/>
      <c r="N200" s="2"/>
      <c r="O200" s="2" t="s">
        <v>15</v>
      </c>
      <c r="P200" s="2"/>
      <c r="Q200" s="2"/>
      <c r="R200" s="2"/>
      <c r="S200" s="2"/>
      <c r="T200" s="2"/>
      <c r="U200" s="2"/>
      <c r="V200" s="2"/>
      <c r="W200" s="2" t="str">
        <f>IF(INDEX(EquipmentInfo[Thuê CQ],PlanTable[[#This Row],[I]])=0,"",INDEX(EquipmentInfo[Thuê CQ],PlanTable[[#This Row],[I]]))</f>
        <v/>
      </c>
      <c r="X200" s="2" t="str">
        <f>INDEX(EquipmentInfo[Người phụ trách],PlanTable[[#This Row],[I]])</f>
        <v>P. HCQT</v>
      </c>
      <c r="Y200" s="2"/>
      <c r="Z200" s="1"/>
    </row>
    <row r="201" spans="1:26" x14ac:dyDescent="0.25">
      <c r="A201" s="2">
        <v>196</v>
      </c>
      <c r="B201" s="2">
        <f>MATCH(PlanTable[[#This Row],[Mã thiết bị]],EquipmentInfo[Mã thiết bị],0)</f>
        <v>205</v>
      </c>
      <c r="C201" s="22" t="str">
        <f>INDEX(EquipmentInfo[Tên thiết bị],MATCH(PlanTable[[#This Row],[Mã thiết bị]],EquipmentInfo[Mã thiết bị],0))</f>
        <v>Nhiệt ẩm kế</v>
      </c>
      <c r="D201" s="2" t="s">
        <v>244</v>
      </c>
      <c r="E201" s="2" t="str">
        <f>IF(INDEX(EquipmentInfo[KĐ cân],PlanTable[[#This Row],[I]])=0,"",INDEX(EquipmentInfo[KĐ cân],PlanTable[[#This Row],[I]]))</f>
        <v/>
      </c>
      <c r="F201" s="2" t="str">
        <f>IF(INDEX(EquipmentInfo[KĐ áp kế],PlanTable[[#This Row],[I]])=0,"",INDEX(EquipmentInfo[KĐ áp kế],PlanTable[[#This Row],[I]]))</f>
        <v/>
      </c>
      <c r="G201" s="2" t="str">
        <f>IF(INDEX(EquipmentInfo[KĐ AT],PlanTable[[#This Row],[I]])=0,"",INDEX(EquipmentInfo[KĐ AT],PlanTable[[#This Row],[I]]))</f>
        <v/>
      </c>
      <c r="H201" s="2">
        <f>IF(INDEX(EquipmentInfo[HC],PlanTable[[#This Row],[I]])=0,"",INDEX(EquipmentInfo[HC],PlanTable[[#This Row],[I]]))</f>
        <v>12</v>
      </c>
      <c r="I201" s="2" t="str">
        <f>IF(INDEX(EquipmentInfo[BT],PlanTable[[#This Row],[I]])=0,"",INDEX(EquipmentInfo[BT],PlanTable[[#This Row],[I]]))</f>
        <v/>
      </c>
      <c r="J201" s="2" t="str">
        <f>IF(INDEX(EquipmentInfo[PQ],PlanTable[[#This Row],[I]])=0,"",INDEX(EquipmentInfo[PQ],PlanTable[[#This Row],[I]]))</f>
        <v/>
      </c>
      <c r="K201" s="2"/>
      <c r="L201" s="2"/>
      <c r="M201" s="2"/>
      <c r="N201" s="2"/>
      <c r="O201" s="2" t="s">
        <v>15</v>
      </c>
      <c r="P201" s="2"/>
      <c r="Q201" s="2"/>
      <c r="R201" s="2"/>
      <c r="S201" s="2"/>
      <c r="T201" s="2"/>
      <c r="U201" s="2"/>
      <c r="V201" s="2"/>
      <c r="W201" s="2" t="str">
        <f>IF(INDEX(EquipmentInfo[Thuê CQ],PlanTable[[#This Row],[I]])=0,"",INDEX(EquipmentInfo[Thuê CQ],PlanTable[[#This Row],[I]]))</f>
        <v/>
      </c>
      <c r="X201" s="2" t="str">
        <f>INDEX(EquipmentInfo[Người phụ trách],PlanTable[[#This Row],[I]])</f>
        <v>P. HCQT</v>
      </c>
      <c r="Y201" s="2"/>
      <c r="Z201" s="1"/>
    </row>
    <row r="202" spans="1:26" x14ac:dyDescent="0.25">
      <c r="A202" s="2">
        <v>197</v>
      </c>
      <c r="B202" s="2">
        <f>MATCH(PlanTable[[#This Row],[Mã thiết bị]],EquipmentInfo[Mã thiết bị],0)</f>
        <v>206</v>
      </c>
      <c r="C202" s="22" t="str">
        <f>INDEX(EquipmentInfo[Tên thiết bị],MATCH(PlanTable[[#This Row],[Mã thiết bị]],EquipmentInfo[Mã thiết bị],0))</f>
        <v>Nhiệt ẩm kế</v>
      </c>
      <c r="D202" s="2" t="s">
        <v>245</v>
      </c>
      <c r="E202" s="2" t="str">
        <f>IF(INDEX(EquipmentInfo[KĐ cân],PlanTable[[#This Row],[I]])=0,"",INDEX(EquipmentInfo[KĐ cân],PlanTable[[#This Row],[I]]))</f>
        <v/>
      </c>
      <c r="F202" s="2" t="str">
        <f>IF(INDEX(EquipmentInfo[KĐ áp kế],PlanTable[[#This Row],[I]])=0,"",INDEX(EquipmentInfo[KĐ áp kế],PlanTable[[#This Row],[I]]))</f>
        <v/>
      </c>
      <c r="G202" s="2" t="str">
        <f>IF(INDEX(EquipmentInfo[KĐ AT],PlanTable[[#This Row],[I]])=0,"",INDEX(EquipmentInfo[KĐ AT],PlanTable[[#This Row],[I]]))</f>
        <v/>
      </c>
      <c r="H202" s="2">
        <f>IF(INDEX(EquipmentInfo[HC],PlanTable[[#This Row],[I]])=0,"",INDEX(EquipmentInfo[HC],PlanTable[[#This Row],[I]]))</f>
        <v>12</v>
      </c>
      <c r="I202" s="2" t="str">
        <f>IF(INDEX(EquipmentInfo[BT],PlanTable[[#This Row],[I]])=0,"",INDEX(EquipmentInfo[BT],PlanTable[[#This Row],[I]]))</f>
        <v/>
      </c>
      <c r="J202" s="2" t="str">
        <f>IF(INDEX(EquipmentInfo[PQ],PlanTable[[#This Row],[I]])=0,"",INDEX(EquipmentInfo[PQ],PlanTable[[#This Row],[I]]))</f>
        <v/>
      </c>
      <c r="K202" s="2"/>
      <c r="L202" s="2"/>
      <c r="M202" s="2"/>
      <c r="N202" s="2"/>
      <c r="O202" s="2" t="s">
        <v>15</v>
      </c>
      <c r="P202" s="2"/>
      <c r="Q202" s="2"/>
      <c r="R202" s="2"/>
      <c r="S202" s="2"/>
      <c r="T202" s="2"/>
      <c r="U202" s="2"/>
      <c r="V202" s="2"/>
      <c r="W202" s="2" t="str">
        <f>IF(INDEX(EquipmentInfo[Thuê CQ],PlanTable[[#This Row],[I]])=0,"",INDEX(EquipmentInfo[Thuê CQ],PlanTable[[#This Row],[I]]))</f>
        <v/>
      </c>
      <c r="X202" s="2" t="str">
        <f>INDEX(EquipmentInfo[Người phụ trách],PlanTable[[#This Row],[I]])</f>
        <v>P. HCQT</v>
      </c>
      <c r="Y202" s="2"/>
      <c r="Z202" s="1"/>
    </row>
    <row r="203" spans="1:26" x14ac:dyDescent="0.25">
      <c r="A203" s="2">
        <v>198</v>
      </c>
      <c r="B203" s="2">
        <f>MATCH(PlanTable[[#This Row],[Mã thiết bị]],EquipmentInfo[Mã thiết bị],0)</f>
        <v>207</v>
      </c>
      <c r="C203" s="22" t="str">
        <f>INDEX(EquipmentInfo[Tên thiết bị],MATCH(PlanTable[[#This Row],[Mã thiết bị]],EquipmentInfo[Mã thiết bị],0))</f>
        <v>Nhiệt ẩm kế</v>
      </c>
      <c r="D203" s="2" t="s">
        <v>246</v>
      </c>
      <c r="E203" s="2" t="str">
        <f>IF(INDEX(EquipmentInfo[KĐ cân],PlanTable[[#This Row],[I]])=0,"",INDEX(EquipmentInfo[KĐ cân],PlanTable[[#This Row],[I]]))</f>
        <v/>
      </c>
      <c r="F203" s="2" t="str">
        <f>IF(INDEX(EquipmentInfo[KĐ áp kế],PlanTable[[#This Row],[I]])=0,"",INDEX(EquipmentInfo[KĐ áp kế],PlanTable[[#This Row],[I]]))</f>
        <v/>
      </c>
      <c r="G203" s="2" t="str">
        <f>IF(INDEX(EquipmentInfo[KĐ AT],PlanTable[[#This Row],[I]])=0,"",INDEX(EquipmentInfo[KĐ AT],PlanTable[[#This Row],[I]]))</f>
        <v/>
      </c>
      <c r="H203" s="2">
        <f>IF(INDEX(EquipmentInfo[HC],PlanTable[[#This Row],[I]])=0,"",INDEX(EquipmentInfo[HC],PlanTable[[#This Row],[I]]))</f>
        <v>12</v>
      </c>
      <c r="I203" s="2" t="str">
        <f>IF(INDEX(EquipmentInfo[BT],PlanTable[[#This Row],[I]])=0,"",INDEX(EquipmentInfo[BT],PlanTable[[#This Row],[I]]))</f>
        <v/>
      </c>
      <c r="J203" s="2" t="str">
        <f>IF(INDEX(EquipmentInfo[PQ],PlanTable[[#This Row],[I]])=0,"",INDEX(EquipmentInfo[PQ],PlanTable[[#This Row],[I]]))</f>
        <v/>
      </c>
      <c r="K203" s="2"/>
      <c r="L203" s="2"/>
      <c r="M203" s="2"/>
      <c r="N203" s="2"/>
      <c r="O203" s="2" t="s">
        <v>15</v>
      </c>
      <c r="P203" s="2"/>
      <c r="Q203" s="2"/>
      <c r="R203" s="2"/>
      <c r="S203" s="2"/>
      <c r="T203" s="2"/>
      <c r="U203" s="2"/>
      <c r="V203" s="2"/>
      <c r="W203" s="2" t="str">
        <f>IF(INDEX(EquipmentInfo[Thuê CQ],PlanTable[[#This Row],[I]])=0,"",INDEX(EquipmentInfo[Thuê CQ],PlanTable[[#This Row],[I]]))</f>
        <v/>
      </c>
      <c r="X203" s="2" t="str">
        <f>INDEX(EquipmentInfo[Người phụ trách],PlanTable[[#This Row],[I]])</f>
        <v>P. HCQT</v>
      </c>
      <c r="Y203" s="2"/>
      <c r="Z203" s="1"/>
    </row>
    <row r="204" spans="1:26" x14ac:dyDescent="0.25">
      <c r="A204" s="2">
        <v>199</v>
      </c>
      <c r="B204" s="2">
        <f>MATCH(PlanTable[[#This Row],[Mã thiết bị]],EquipmentInfo[Mã thiết bị],0)</f>
        <v>208</v>
      </c>
      <c r="C204" s="22" t="str">
        <f>INDEX(EquipmentInfo[Tên thiết bị],MATCH(PlanTable[[#This Row],[Mã thiết bị]],EquipmentInfo[Mã thiết bị],0))</f>
        <v>Nhiệt ẩm kế</v>
      </c>
      <c r="D204" s="2" t="s">
        <v>247</v>
      </c>
      <c r="E204" s="2" t="str">
        <f>IF(INDEX(EquipmentInfo[KĐ cân],PlanTable[[#This Row],[I]])=0,"",INDEX(EquipmentInfo[KĐ cân],PlanTable[[#This Row],[I]]))</f>
        <v/>
      </c>
      <c r="F204" s="2" t="str">
        <f>IF(INDEX(EquipmentInfo[KĐ áp kế],PlanTable[[#This Row],[I]])=0,"",INDEX(EquipmentInfo[KĐ áp kế],PlanTable[[#This Row],[I]]))</f>
        <v/>
      </c>
      <c r="G204" s="2" t="str">
        <f>IF(INDEX(EquipmentInfo[KĐ AT],PlanTable[[#This Row],[I]])=0,"",INDEX(EquipmentInfo[KĐ AT],PlanTable[[#This Row],[I]]))</f>
        <v/>
      </c>
      <c r="H204" s="2">
        <f>IF(INDEX(EquipmentInfo[HC],PlanTable[[#This Row],[I]])=0,"",INDEX(EquipmentInfo[HC],PlanTable[[#This Row],[I]]))</f>
        <v>12</v>
      </c>
      <c r="I204" s="2" t="str">
        <f>IF(INDEX(EquipmentInfo[BT],PlanTable[[#This Row],[I]])=0,"",INDEX(EquipmentInfo[BT],PlanTable[[#This Row],[I]]))</f>
        <v/>
      </c>
      <c r="J204" s="2" t="str">
        <f>IF(INDEX(EquipmentInfo[PQ],PlanTable[[#This Row],[I]])=0,"",INDEX(EquipmentInfo[PQ],PlanTable[[#This Row],[I]]))</f>
        <v/>
      </c>
      <c r="K204" s="2"/>
      <c r="L204" s="2"/>
      <c r="M204" s="2"/>
      <c r="N204" s="2"/>
      <c r="O204" s="2" t="s">
        <v>15</v>
      </c>
      <c r="P204" s="2"/>
      <c r="Q204" s="2"/>
      <c r="R204" s="2"/>
      <c r="S204" s="2"/>
      <c r="T204" s="2"/>
      <c r="U204" s="2"/>
      <c r="V204" s="2"/>
      <c r="W204" s="2" t="str">
        <f>IF(INDEX(EquipmentInfo[Thuê CQ],PlanTable[[#This Row],[I]])=0,"",INDEX(EquipmentInfo[Thuê CQ],PlanTable[[#This Row],[I]]))</f>
        <v/>
      </c>
      <c r="X204" s="2" t="str">
        <f>INDEX(EquipmentInfo[Người phụ trách],PlanTable[[#This Row],[I]])</f>
        <v>P. HCQT</v>
      </c>
      <c r="Y204" s="2"/>
      <c r="Z204" s="1"/>
    </row>
    <row r="205" spans="1:26" x14ac:dyDescent="0.25">
      <c r="A205" s="2">
        <v>200</v>
      </c>
      <c r="B205" s="2">
        <f>MATCH(PlanTable[[#This Row],[Mã thiết bị]],EquipmentInfo[Mã thiết bị],0)</f>
        <v>209</v>
      </c>
      <c r="C205" s="22" t="str">
        <f>INDEX(EquipmentInfo[Tên thiết bị],MATCH(PlanTable[[#This Row],[Mã thiết bị]],EquipmentInfo[Mã thiết bị],0))</f>
        <v>Nhiệt ẩm kế</v>
      </c>
      <c r="D205" s="2" t="s">
        <v>248</v>
      </c>
      <c r="E205" s="2" t="str">
        <f>IF(INDEX(EquipmentInfo[KĐ cân],PlanTable[[#This Row],[I]])=0,"",INDEX(EquipmentInfo[KĐ cân],PlanTable[[#This Row],[I]]))</f>
        <v/>
      </c>
      <c r="F205" s="2" t="str">
        <f>IF(INDEX(EquipmentInfo[KĐ áp kế],PlanTable[[#This Row],[I]])=0,"",INDEX(EquipmentInfo[KĐ áp kế],PlanTable[[#This Row],[I]]))</f>
        <v/>
      </c>
      <c r="G205" s="2" t="str">
        <f>IF(INDEX(EquipmentInfo[KĐ AT],PlanTable[[#This Row],[I]])=0,"",INDEX(EquipmentInfo[KĐ AT],PlanTable[[#This Row],[I]]))</f>
        <v/>
      </c>
      <c r="H205" s="2">
        <f>IF(INDEX(EquipmentInfo[HC],PlanTable[[#This Row],[I]])=0,"",INDEX(EquipmentInfo[HC],PlanTable[[#This Row],[I]]))</f>
        <v>12</v>
      </c>
      <c r="I205" s="2" t="str">
        <f>IF(INDEX(EquipmentInfo[BT],PlanTable[[#This Row],[I]])=0,"",INDEX(EquipmentInfo[BT],PlanTable[[#This Row],[I]]))</f>
        <v/>
      </c>
      <c r="J205" s="2" t="str">
        <f>IF(INDEX(EquipmentInfo[PQ],PlanTable[[#This Row],[I]])=0,"",INDEX(EquipmentInfo[PQ],PlanTable[[#This Row],[I]]))</f>
        <v/>
      </c>
      <c r="K205" s="2"/>
      <c r="L205" s="2"/>
      <c r="M205" s="2"/>
      <c r="N205" s="2"/>
      <c r="O205" s="2" t="s">
        <v>15</v>
      </c>
      <c r="P205" s="2"/>
      <c r="Q205" s="2"/>
      <c r="R205" s="2"/>
      <c r="S205" s="2"/>
      <c r="T205" s="2"/>
      <c r="U205" s="2"/>
      <c r="V205" s="2"/>
      <c r="W205" s="2" t="str">
        <f>IF(INDEX(EquipmentInfo[Thuê CQ],PlanTable[[#This Row],[I]])=0,"",INDEX(EquipmentInfo[Thuê CQ],PlanTable[[#This Row],[I]]))</f>
        <v/>
      </c>
      <c r="X205" s="2" t="str">
        <f>INDEX(EquipmentInfo[Người phụ trách],PlanTable[[#This Row],[I]])</f>
        <v>P. HCQT</v>
      </c>
      <c r="Y205" s="2"/>
      <c r="Z205" s="1"/>
    </row>
    <row r="206" spans="1:26" x14ac:dyDescent="0.25">
      <c r="A206" s="2">
        <v>201</v>
      </c>
      <c r="B206" s="2">
        <f>MATCH(PlanTable[[#This Row],[Mã thiết bị]],EquipmentInfo[Mã thiết bị],0)</f>
        <v>210</v>
      </c>
      <c r="C206" s="22" t="str">
        <f>INDEX(EquipmentInfo[Tên thiết bị],MATCH(PlanTable[[#This Row],[Mã thiết bị]],EquipmentInfo[Mã thiết bị],0))</f>
        <v>Nhiệt ẩm kế</v>
      </c>
      <c r="D206" s="2" t="s">
        <v>249</v>
      </c>
      <c r="E206" s="2" t="str">
        <f>IF(INDEX(EquipmentInfo[KĐ cân],PlanTable[[#This Row],[I]])=0,"",INDEX(EquipmentInfo[KĐ cân],PlanTable[[#This Row],[I]]))</f>
        <v/>
      </c>
      <c r="F206" s="2" t="str">
        <f>IF(INDEX(EquipmentInfo[KĐ áp kế],PlanTable[[#This Row],[I]])=0,"",INDEX(EquipmentInfo[KĐ áp kế],PlanTable[[#This Row],[I]]))</f>
        <v/>
      </c>
      <c r="G206" s="2" t="str">
        <f>IF(INDEX(EquipmentInfo[KĐ AT],PlanTable[[#This Row],[I]])=0,"",INDEX(EquipmentInfo[KĐ AT],PlanTable[[#This Row],[I]]))</f>
        <v/>
      </c>
      <c r="H206" s="2">
        <f>IF(INDEX(EquipmentInfo[HC],PlanTable[[#This Row],[I]])=0,"",INDEX(EquipmentInfo[HC],PlanTable[[#This Row],[I]]))</f>
        <v>12</v>
      </c>
      <c r="I206" s="2" t="str">
        <f>IF(INDEX(EquipmentInfo[BT],PlanTable[[#This Row],[I]])=0,"",INDEX(EquipmentInfo[BT],PlanTable[[#This Row],[I]]))</f>
        <v/>
      </c>
      <c r="J206" s="2" t="str">
        <f>IF(INDEX(EquipmentInfo[PQ],PlanTable[[#This Row],[I]])=0,"",INDEX(EquipmentInfo[PQ],PlanTable[[#This Row],[I]]))</f>
        <v/>
      </c>
      <c r="K206" s="2"/>
      <c r="L206" s="2"/>
      <c r="M206" s="2"/>
      <c r="N206" s="2"/>
      <c r="O206" s="2" t="s">
        <v>15</v>
      </c>
      <c r="P206" s="2"/>
      <c r="Q206" s="2"/>
      <c r="R206" s="2"/>
      <c r="S206" s="2"/>
      <c r="T206" s="2"/>
      <c r="U206" s="2"/>
      <c r="V206" s="2"/>
      <c r="W206" s="2" t="str">
        <f>IF(INDEX(EquipmentInfo[Thuê CQ],PlanTable[[#This Row],[I]])=0,"",INDEX(EquipmentInfo[Thuê CQ],PlanTable[[#This Row],[I]]))</f>
        <v/>
      </c>
      <c r="X206" s="2" t="str">
        <f>INDEX(EquipmentInfo[Người phụ trách],PlanTable[[#This Row],[I]])</f>
        <v>P. HCQT</v>
      </c>
      <c r="Y206" s="2"/>
      <c r="Z206" s="1"/>
    </row>
    <row r="207" spans="1:26" x14ac:dyDescent="0.25">
      <c r="A207" s="2">
        <v>202</v>
      </c>
      <c r="B207" s="2">
        <f>MATCH(PlanTable[[#This Row],[Mã thiết bị]],EquipmentInfo[Mã thiết bị],0)</f>
        <v>211</v>
      </c>
      <c r="C207" s="22" t="str">
        <f>INDEX(EquipmentInfo[Tên thiết bị],MATCH(PlanTable[[#This Row],[Mã thiết bị]],EquipmentInfo[Mã thiết bị],0))</f>
        <v>Nhiệt ẩm kế</v>
      </c>
      <c r="D207" s="2" t="s">
        <v>250</v>
      </c>
      <c r="E207" s="2" t="str">
        <f>IF(INDEX(EquipmentInfo[KĐ cân],PlanTable[[#This Row],[I]])=0,"",INDEX(EquipmentInfo[KĐ cân],PlanTable[[#This Row],[I]]))</f>
        <v/>
      </c>
      <c r="F207" s="2" t="str">
        <f>IF(INDEX(EquipmentInfo[KĐ áp kế],PlanTable[[#This Row],[I]])=0,"",INDEX(EquipmentInfo[KĐ áp kế],PlanTable[[#This Row],[I]]))</f>
        <v/>
      </c>
      <c r="G207" s="2" t="str">
        <f>IF(INDEX(EquipmentInfo[KĐ AT],PlanTable[[#This Row],[I]])=0,"",INDEX(EquipmentInfo[KĐ AT],PlanTable[[#This Row],[I]]))</f>
        <v/>
      </c>
      <c r="H207" s="2">
        <f>IF(INDEX(EquipmentInfo[HC],PlanTable[[#This Row],[I]])=0,"",INDEX(EquipmentInfo[HC],PlanTable[[#This Row],[I]]))</f>
        <v>12</v>
      </c>
      <c r="I207" s="2" t="str">
        <f>IF(INDEX(EquipmentInfo[BT],PlanTable[[#This Row],[I]])=0,"",INDEX(EquipmentInfo[BT],PlanTable[[#This Row],[I]]))</f>
        <v/>
      </c>
      <c r="J207" s="2" t="str">
        <f>IF(INDEX(EquipmentInfo[PQ],PlanTable[[#This Row],[I]])=0,"",INDEX(EquipmentInfo[PQ],PlanTable[[#This Row],[I]]))</f>
        <v/>
      </c>
      <c r="K207" s="2"/>
      <c r="L207" s="2"/>
      <c r="M207" s="2"/>
      <c r="N207" s="2"/>
      <c r="O207" s="2" t="s">
        <v>15</v>
      </c>
      <c r="P207" s="2"/>
      <c r="Q207" s="2"/>
      <c r="R207" s="2"/>
      <c r="S207" s="2"/>
      <c r="T207" s="2"/>
      <c r="U207" s="2"/>
      <c r="V207" s="2"/>
      <c r="W207" s="2" t="str">
        <f>IF(INDEX(EquipmentInfo[Thuê CQ],PlanTable[[#This Row],[I]])=0,"",INDEX(EquipmentInfo[Thuê CQ],PlanTable[[#This Row],[I]]))</f>
        <v/>
      </c>
      <c r="X207" s="2" t="str">
        <f>INDEX(EquipmentInfo[Người phụ trách],PlanTable[[#This Row],[I]])</f>
        <v>P. HCQT</v>
      </c>
      <c r="Y207" s="2"/>
      <c r="Z207" s="1"/>
    </row>
    <row r="208" spans="1:26" x14ac:dyDescent="0.25">
      <c r="A208" s="2">
        <v>203</v>
      </c>
      <c r="B208" s="2">
        <f>MATCH(PlanTable[[#This Row],[Mã thiết bị]],EquipmentInfo[Mã thiết bị],0)</f>
        <v>212</v>
      </c>
      <c r="C208" s="22" t="str">
        <f>INDEX(EquipmentInfo[Tên thiết bị],MATCH(PlanTable[[#This Row],[Mã thiết bị]],EquipmentInfo[Mã thiết bị],0))</f>
        <v>Nhiệt ẩm kế</v>
      </c>
      <c r="D208" s="2" t="s">
        <v>251</v>
      </c>
      <c r="E208" s="2" t="str">
        <f>IF(INDEX(EquipmentInfo[KĐ cân],PlanTable[[#This Row],[I]])=0,"",INDEX(EquipmentInfo[KĐ cân],PlanTable[[#This Row],[I]]))</f>
        <v/>
      </c>
      <c r="F208" s="2" t="str">
        <f>IF(INDEX(EquipmentInfo[KĐ áp kế],PlanTable[[#This Row],[I]])=0,"",INDEX(EquipmentInfo[KĐ áp kế],PlanTable[[#This Row],[I]]))</f>
        <v/>
      </c>
      <c r="G208" s="2" t="str">
        <f>IF(INDEX(EquipmentInfo[KĐ AT],PlanTable[[#This Row],[I]])=0,"",INDEX(EquipmentInfo[KĐ AT],PlanTable[[#This Row],[I]]))</f>
        <v/>
      </c>
      <c r="H208" s="2">
        <f>IF(INDEX(EquipmentInfo[HC],PlanTable[[#This Row],[I]])=0,"",INDEX(EquipmentInfo[HC],PlanTable[[#This Row],[I]]))</f>
        <v>12</v>
      </c>
      <c r="I208" s="2" t="str">
        <f>IF(INDEX(EquipmentInfo[BT],PlanTable[[#This Row],[I]])=0,"",INDEX(EquipmentInfo[BT],PlanTable[[#This Row],[I]]))</f>
        <v/>
      </c>
      <c r="J208" s="2" t="str">
        <f>IF(INDEX(EquipmentInfo[PQ],PlanTable[[#This Row],[I]])=0,"",INDEX(EquipmentInfo[PQ],PlanTable[[#This Row],[I]]))</f>
        <v/>
      </c>
      <c r="K208" s="2"/>
      <c r="L208" s="2"/>
      <c r="M208" s="2"/>
      <c r="N208" s="2"/>
      <c r="O208" s="2" t="s">
        <v>15</v>
      </c>
      <c r="P208" s="2"/>
      <c r="Q208" s="2"/>
      <c r="R208" s="2"/>
      <c r="S208" s="2"/>
      <c r="T208" s="2"/>
      <c r="U208" s="2"/>
      <c r="V208" s="2"/>
      <c r="W208" s="2" t="str">
        <f>IF(INDEX(EquipmentInfo[Thuê CQ],PlanTable[[#This Row],[I]])=0,"",INDEX(EquipmentInfo[Thuê CQ],PlanTable[[#This Row],[I]]))</f>
        <v/>
      </c>
      <c r="X208" s="2" t="str">
        <f>INDEX(EquipmentInfo[Người phụ trách],PlanTable[[#This Row],[I]])</f>
        <v>P. HCQT</v>
      </c>
      <c r="Y208" s="2"/>
      <c r="Z208" s="1"/>
    </row>
    <row r="209" spans="1:26" x14ac:dyDescent="0.25">
      <c r="A209" s="2">
        <v>204</v>
      </c>
      <c r="B209" s="2">
        <f>MATCH(PlanTable[[#This Row],[Mã thiết bị]],EquipmentInfo[Mã thiết bị],0)</f>
        <v>213</v>
      </c>
      <c r="C209" s="22" t="str">
        <f>INDEX(EquipmentInfo[Tên thiết bị],MATCH(PlanTable[[#This Row],[Mã thiết bị]],EquipmentInfo[Mã thiết bị],0))</f>
        <v>Nhiệt ẩm kế</v>
      </c>
      <c r="D209" s="2" t="s">
        <v>252</v>
      </c>
      <c r="E209" s="2" t="str">
        <f>IF(INDEX(EquipmentInfo[KĐ cân],PlanTable[[#This Row],[I]])=0,"",INDEX(EquipmentInfo[KĐ cân],PlanTable[[#This Row],[I]]))</f>
        <v/>
      </c>
      <c r="F209" s="2" t="str">
        <f>IF(INDEX(EquipmentInfo[KĐ áp kế],PlanTable[[#This Row],[I]])=0,"",INDEX(EquipmentInfo[KĐ áp kế],PlanTable[[#This Row],[I]]))</f>
        <v/>
      </c>
      <c r="G209" s="2" t="str">
        <f>IF(INDEX(EquipmentInfo[KĐ AT],PlanTable[[#This Row],[I]])=0,"",INDEX(EquipmentInfo[KĐ AT],PlanTable[[#This Row],[I]]))</f>
        <v/>
      </c>
      <c r="H209" s="2">
        <f>IF(INDEX(EquipmentInfo[HC],PlanTable[[#This Row],[I]])=0,"",INDEX(EquipmentInfo[HC],PlanTable[[#This Row],[I]]))</f>
        <v>12</v>
      </c>
      <c r="I209" s="2" t="str">
        <f>IF(INDEX(EquipmentInfo[BT],PlanTable[[#This Row],[I]])=0,"",INDEX(EquipmentInfo[BT],PlanTable[[#This Row],[I]]))</f>
        <v/>
      </c>
      <c r="J209" s="2" t="str">
        <f>IF(INDEX(EquipmentInfo[PQ],PlanTable[[#This Row],[I]])=0,"",INDEX(EquipmentInfo[PQ],PlanTable[[#This Row],[I]]))</f>
        <v/>
      </c>
      <c r="K209" s="2"/>
      <c r="L209" s="2"/>
      <c r="M209" s="2"/>
      <c r="N209" s="2"/>
      <c r="O209" s="2" t="s">
        <v>15</v>
      </c>
      <c r="P209" s="2"/>
      <c r="Q209" s="2"/>
      <c r="R209" s="2"/>
      <c r="S209" s="2"/>
      <c r="T209" s="2"/>
      <c r="U209" s="2"/>
      <c r="V209" s="2"/>
      <c r="W209" s="2" t="str">
        <f>IF(INDEX(EquipmentInfo[Thuê CQ],PlanTable[[#This Row],[I]])=0,"",INDEX(EquipmentInfo[Thuê CQ],PlanTable[[#This Row],[I]]))</f>
        <v/>
      </c>
      <c r="X209" s="2" t="str">
        <f>INDEX(EquipmentInfo[Người phụ trách],PlanTable[[#This Row],[I]])</f>
        <v>P. HCQT</v>
      </c>
      <c r="Y209" s="2"/>
      <c r="Z209" s="1"/>
    </row>
    <row r="210" spans="1:26" x14ac:dyDescent="0.25">
      <c r="A210" s="2">
        <v>205</v>
      </c>
      <c r="B210" s="2">
        <f>MATCH(PlanTable[[#This Row],[Mã thiết bị]],EquipmentInfo[Mã thiết bị],0)</f>
        <v>214</v>
      </c>
      <c r="C210" s="22" t="str">
        <f>INDEX(EquipmentInfo[Tên thiết bị],MATCH(PlanTable[[#This Row],[Mã thiết bị]],EquipmentInfo[Mã thiết bị],0))</f>
        <v>Nhiệt ẩm kế</v>
      </c>
      <c r="D210" s="2" t="s">
        <v>253</v>
      </c>
      <c r="E210" s="2" t="str">
        <f>IF(INDEX(EquipmentInfo[KĐ cân],PlanTable[[#This Row],[I]])=0,"",INDEX(EquipmentInfo[KĐ cân],PlanTable[[#This Row],[I]]))</f>
        <v/>
      </c>
      <c r="F210" s="2" t="str">
        <f>IF(INDEX(EquipmentInfo[KĐ áp kế],PlanTable[[#This Row],[I]])=0,"",INDEX(EquipmentInfo[KĐ áp kế],PlanTable[[#This Row],[I]]))</f>
        <v/>
      </c>
      <c r="G210" s="2" t="str">
        <f>IF(INDEX(EquipmentInfo[KĐ AT],PlanTable[[#This Row],[I]])=0,"",INDEX(EquipmentInfo[KĐ AT],PlanTable[[#This Row],[I]]))</f>
        <v/>
      </c>
      <c r="H210" s="2">
        <f>IF(INDEX(EquipmentInfo[HC],PlanTable[[#This Row],[I]])=0,"",INDEX(EquipmentInfo[HC],PlanTable[[#This Row],[I]]))</f>
        <v>12</v>
      </c>
      <c r="I210" s="2" t="str">
        <f>IF(INDEX(EquipmentInfo[BT],PlanTable[[#This Row],[I]])=0,"",INDEX(EquipmentInfo[BT],PlanTable[[#This Row],[I]]))</f>
        <v/>
      </c>
      <c r="J210" s="2" t="str">
        <f>IF(INDEX(EquipmentInfo[PQ],PlanTable[[#This Row],[I]])=0,"",INDEX(EquipmentInfo[PQ],PlanTable[[#This Row],[I]]))</f>
        <v/>
      </c>
      <c r="K210" s="2"/>
      <c r="L210" s="2"/>
      <c r="M210" s="2"/>
      <c r="N210" s="2"/>
      <c r="O210" s="2" t="s">
        <v>15</v>
      </c>
      <c r="P210" s="2"/>
      <c r="Q210" s="2"/>
      <c r="R210" s="2"/>
      <c r="S210" s="2"/>
      <c r="T210" s="2"/>
      <c r="U210" s="2"/>
      <c r="V210" s="2"/>
      <c r="W210" s="2" t="str">
        <f>IF(INDEX(EquipmentInfo[Thuê CQ],PlanTable[[#This Row],[I]])=0,"",INDEX(EquipmentInfo[Thuê CQ],PlanTable[[#This Row],[I]]))</f>
        <v/>
      </c>
      <c r="X210" s="2" t="str">
        <f>INDEX(EquipmentInfo[Người phụ trách],PlanTable[[#This Row],[I]])</f>
        <v>P. HCQT</v>
      </c>
      <c r="Y210" s="2"/>
      <c r="Z210" s="1"/>
    </row>
    <row r="211" spans="1:26" x14ac:dyDescent="0.25">
      <c r="A211" s="2">
        <v>206</v>
      </c>
      <c r="B211" s="2">
        <f>MATCH(PlanTable[[#This Row],[Mã thiết bị]],EquipmentInfo[Mã thiết bị],0)</f>
        <v>215</v>
      </c>
      <c r="C211" s="22" t="str">
        <f>INDEX(EquipmentInfo[Tên thiết bị],MATCH(PlanTable[[#This Row],[Mã thiết bị]],EquipmentInfo[Mã thiết bị],0))</f>
        <v>Nhiệt ẩm kế</v>
      </c>
      <c r="D211" s="2" t="s">
        <v>254</v>
      </c>
      <c r="E211" s="2" t="str">
        <f>IF(INDEX(EquipmentInfo[KĐ cân],PlanTable[[#This Row],[I]])=0,"",INDEX(EquipmentInfo[KĐ cân],PlanTable[[#This Row],[I]]))</f>
        <v/>
      </c>
      <c r="F211" s="2" t="str">
        <f>IF(INDEX(EquipmentInfo[KĐ áp kế],PlanTable[[#This Row],[I]])=0,"",INDEX(EquipmentInfo[KĐ áp kế],PlanTable[[#This Row],[I]]))</f>
        <v/>
      </c>
      <c r="G211" s="2" t="str">
        <f>IF(INDEX(EquipmentInfo[KĐ AT],PlanTable[[#This Row],[I]])=0,"",INDEX(EquipmentInfo[KĐ AT],PlanTable[[#This Row],[I]]))</f>
        <v/>
      </c>
      <c r="H211" s="2">
        <f>IF(INDEX(EquipmentInfo[HC],PlanTable[[#This Row],[I]])=0,"",INDEX(EquipmentInfo[HC],PlanTable[[#This Row],[I]]))</f>
        <v>12</v>
      </c>
      <c r="I211" s="2" t="str">
        <f>IF(INDEX(EquipmentInfo[BT],PlanTable[[#This Row],[I]])=0,"",INDEX(EquipmentInfo[BT],PlanTable[[#This Row],[I]]))</f>
        <v/>
      </c>
      <c r="J211" s="2" t="str">
        <f>IF(INDEX(EquipmentInfo[PQ],PlanTable[[#This Row],[I]])=0,"",INDEX(EquipmentInfo[PQ],PlanTable[[#This Row],[I]]))</f>
        <v/>
      </c>
      <c r="K211" s="2"/>
      <c r="L211" s="2"/>
      <c r="M211" s="2"/>
      <c r="N211" s="2"/>
      <c r="O211" s="2" t="s">
        <v>15</v>
      </c>
      <c r="P211" s="2"/>
      <c r="Q211" s="2"/>
      <c r="R211" s="2"/>
      <c r="S211" s="2"/>
      <c r="T211" s="2"/>
      <c r="U211" s="2"/>
      <c r="V211" s="2"/>
      <c r="W211" s="2" t="str">
        <f>IF(INDEX(EquipmentInfo[Thuê CQ],PlanTable[[#This Row],[I]])=0,"",INDEX(EquipmentInfo[Thuê CQ],PlanTable[[#This Row],[I]]))</f>
        <v/>
      </c>
      <c r="X211" s="2" t="str">
        <f>INDEX(EquipmentInfo[Người phụ trách],PlanTable[[#This Row],[I]])</f>
        <v>P. HCQT</v>
      </c>
      <c r="Y211" s="2"/>
      <c r="Z211" s="1"/>
    </row>
    <row r="212" spans="1:26" x14ac:dyDescent="0.25">
      <c r="A212" s="2">
        <v>207</v>
      </c>
      <c r="B212" s="2">
        <f>MATCH(PlanTable[[#This Row],[Mã thiết bị]],EquipmentInfo[Mã thiết bị],0)</f>
        <v>216</v>
      </c>
      <c r="C212" s="22" t="str">
        <f>INDEX(EquipmentInfo[Tên thiết bị],MATCH(PlanTable[[#This Row],[Mã thiết bị]],EquipmentInfo[Mã thiết bị],0))</f>
        <v>Nhiệt ẩm kế</v>
      </c>
      <c r="D212" s="2" t="s">
        <v>255</v>
      </c>
      <c r="E212" s="2" t="str">
        <f>IF(INDEX(EquipmentInfo[KĐ cân],PlanTable[[#This Row],[I]])=0,"",INDEX(EquipmentInfo[KĐ cân],PlanTable[[#This Row],[I]]))</f>
        <v/>
      </c>
      <c r="F212" s="2" t="str">
        <f>IF(INDEX(EquipmentInfo[KĐ áp kế],PlanTable[[#This Row],[I]])=0,"",INDEX(EquipmentInfo[KĐ áp kế],PlanTable[[#This Row],[I]]))</f>
        <v/>
      </c>
      <c r="G212" s="2" t="str">
        <f>IF(INDEX(EquipmentInfo[KĐ AT],PlanTable[[#This Row],[I]])=0,"",INDEX(EquipmentInfo[KĐ AT],PlanTable[[#This Row],[I]]))</f>
        <v/>
      </c>
      <c r="H212" s="2">
        <f>IF(INDEX(EquipmentInfo[HC],PlanTable[[#This Row],[I]])=0,"",INDEX(EquipmentInfo[HC],PlanTable[[#This Row],[I]]))</f>
        <v>12</v>
      </c>
      <c r="I212" s="2" t="str">
        <f>IF(INDEX(EquipmentInfo[BT],PlanTable[[#This Row],[I]])=0,"",INDEX(EquipmentInfo[BT],PlanTable[[#This Row],[I]]))</f>
        <v/>
      </c>
      <c r="J212" s="2" t="str">
        <f>IF(INDEX(EquipmentInfo[PQ],PlanTable[[#This Row],[I]])=0,"",INDEX(EquipmentInfo[PQ],PlanTable[[#This Row],[I]]))</f>
        <v/>
      </c>
      <c r="K212" s="2"/>
      <c r="L212" s="2"/>
      <c r="M212" s="2"/>
      <c r="N212" s="2"/>
      <c r="O212" s="2" t="s">
        <v>15</v>
      </c>
      <c r="P212" s="2"/>
      <c r="Q212" s="2"/>
      <c r="R212" s="2"/>
      <c r="S212" s="2"/>
      <c r="T212" s="2"/>
      <c r="U212" s="2"/>
      <c r="V212" s="2"/>
      <c r="W212" s="2" t="str">
        <f>IF(INDEX(EquipmentInfo[Thuê CQ],PlanTable[[#This Row],[I]])=0,"",INDEX(EquipmentInfo[Thuê CQ],PlanTable[[#This Row],[I]]))</f>
        <v/>
      </c>
      <c r="X212" s="2" t="str">
        <f>INDEX(EquipmentInfo[Người phụ trách],PlanTable[[#This Row],[I]])</f>
        <v>P. HCQT</v>
      </c>
      <c r="Y212" s="2"/>
      <c r="Z212" s="1"/>
    </row>
    <row r="213" spans="1:26" x14ac:dyDescent="0.25">
      <c r="A213" s="2">
        <v>208</v>
      </c>
      <c r="B213" s="2">
        <f>MATCH(PlanTable[[#This Row],[Mã thiết bị]],EquipmentInfo[Mã thiết bị],0)</f>
        <v>217</v>
      </c>
      <c r="C213" s="22" t="str">
        <f>INDEX(EquipmentInfo[Tên thiết bị],MATCH(PlanTable[[#This Row],[Mã thiết bị]],EquipmentInfo[Mã thiết bị],0))</f>
        <v>Nhiệt ẩm kế</v>
      </c>
      <c r="D213" s="2" t="s">
        <v>256</v>
      </c>
      <c r="E213" s="2" t="str">
        <f>IF(INDEX(EquipmentInfo[KĐ cân],PlanTable[[#This Row],[I]])=0,"",INDEX(EquipmentInfo[KĐ cân],PlanTable[[#This Row],[I]]))</f>
        <v/>
      </c>
      <c r="F213" s="2" t="str">
        <f>IF(INDEX(EquipmentInfo[KĐ áp kế],PlanTable[[#This Row],[I]])=0,"",INDEX(EquipmentInfo[KĐ áp kế],PlanTable[[#This Row],[I]]))</f>
        <v/>
      </c>
      <c r="G213" s="2" t="str">
        <f>IF(INDEX(EquipmentInfo[KĐ AT],PlanTable[[#This Row],[I]])=0,"",INDEX(EquipmentInfo[KĐ AT],PlanTable[[#This Row],[I]]))</f>
        <v/>
      </c>
      <c r="H213" s="2">
        <f>IF(INDEX(EquipmentInfo[HC],PlanTable[[#This Row],[I]])=0,"",INDEX(EquipmentInfo[HC],PlanTable[[#This Row],[I]]))</f>
        <v>12</v>
      </c>
      <c r="I213" s="2" t="str">
        <f>IF(INDEX(EquipmentInfo[BT],PlanTable[[#This Row],[I]])=0,"",INDEX(EquipmentInfo[BT],PlanTable[[#This Row],[I]]))</f>
        <v/>
      </c>
      <c r="J213" s="2" t="str">
        <f>IF(INDEX(EquipmentInfo[PQ],PlanTable[[#This Row],[I]])=0,"",INDEX(EquipmentInfo[PQ],PlanTable[[#This Row],[I]]))</f>
        <v/>
      </c>
      <c r="K213" s="2"/>
      <c r="L213" s="2"/>
      <c r="M213" s="2"/>
      <c r="N213" s="2"/>
      <c r="O213" s="2" t="s">
        <v>15</v>
      </c>
      <c r="P213" s="2"/>
      <c r="Q213" s="2"/>
      <c r="R213" s="2"/>
      <c r="S213" s="2"/>
      <c r="T213" s="2"/>
      <c r="U213" s="2"/>
      <c r="V213" s="2"/>
      <c r="W213" s="2" t="str">
        <f>IF(INDEX(EquipmentInfo[Thuê CQ],PlanTable[[#This Row],[I]])=0,"",INDEX(EquipmentInfo[Thuê CQ],PlanTable[[#This Row],[I]]))</f>
        <v/>
      </c>
      <c r="X213" s="2" t="str">
        <f>INDEX(EquipmentInfo[Người phụ trách],PlanTable[[#This Row],[I]])</f>
        <v>P. HCQT</v>
      </c>
      <c r="Y213" s="2"/>
      <c r="Z213" s="1"/>
    </row>
    <row r="214" spans="1:26" x14ac:dyDescent="0.25">
      <c r="A214" s="2">
        <v>209</v>
      </c>
      <c r="B214" s="2">
        <f>MATCH(PlanTable[[#This Row],[Mã thiết bị]],EquipmentInfo[Mã thiết bị],0)</f>
        <v>218</v>
      </c>
      <c r="C214" s="22" t="str">
        <f>INDEX(EquipmentInfo[Tên thiết bị],MATCH(PlanTable[[#This Row],[Mã thiết bị]],EquipmentInfo[Mã thiết bị],0))</f>
        <v>Nhiệt ẩm kế</v>
      </c>
      <c r="D214" s="2" t="s">
        <v>257</v>
      </c>
      <c r="E214" s="2" t="str">
        <f>IF(INDEX(EquipmentInfo[KĐ cân],PlanTable[[#This Row],[I]])=0,"",INDEX(EquipmentInfo[KĐ cân],PlanTable[[#This Row],[I]]))</f>
        <v/>
      </c>
      <c r="F214" s="2" t="str">
        <f>IF(INDEX(EquipmentInfo[KĐ áp kế],PlanTable[[#This Row],[I]])=0,"",INDEX(EquipmentInfo[KĐ áp kế],PlanTable[[#This Row],[I]]))</f>
        <v/>
      </c>
      <c r="G214" s="2" t="str">
        <f>IF(INDEX(EquipmentInfo[KĐ AT],PlanTable[[#This Row],[I]])=0,"",INDEX(EquipmentInfo[KĐ AT],PlanTable[[#This Row],[I]]))</f>
        <v/>
      </c>
      <c r="H214" s="2">
        <f>IF(INDEX(EquipmentInfo[HC],PlanTable[[#This Row],[I]])=0,"",INDEX(EquipmentInfo[HC],PlanTable[[#This Row],[I]]))</f>
        <v>12</v>
      </c>
      <c r="I214" s="2" t="str">
        <f>IF(INDEX(EquipmentInfo[BT],PlanTable[[#This Row],[I]])=0,"",INDEX(EquipmentInfo[BT],PlanTable[[#This Row],[I]]))</f>
        <v/>
      </c>
      <c r="J214" s="2" t="str">
        <f>IF(INDEX(EquipmentInfo[PQ],PlanTable[[#This Row],[I]])=0,"",INDEX(EquipmentInfo[PQ],PlanTable[[#This Row],[I]]))</f>
        <v/>
      </c>
      <c r="K214" s="2"/>
      <c r="L214" s="2"/>
      <c r="M214" s="2"/>
      <c r="N214" s="2"/>
      <c r="O214" s="2" t="s">
        <v>15</v>
      </c>
      <c r="P214" s="2"/>
      <c r="Q214" s="2"/>
      <c r="R214" s="2"/>
      <c r="S214" s="2"/>
      <c r="T214" s="2"/>
      <c r="U214" s="2"/>
      <c r="V214" s="2"/>
      <c r="W214" s="2" t="str">
        <f>IF(INDEX(EquipmentInfo[Thuê CQ],PlanTable[[#This Row],[I]])=0,"",INDEX(EquipmentInfo[Thuê CQ],PlanTable[[#This Row],[I]]))</f>
        <v/>
      </c>
      <c r="X214" s="2" t="str">
        <f>INDEX(EquipmentInfo[Người phụ trách],PlanTable[[#This Row],[I]])</f>
        <v>P. HCQT</v>
      </c>
      <c r="Y214" s="2"/>
      <c r="Z214" s="1"/>
    </row>
    <row r="215" spans="1:26" x14ac:dyDescent="0.25">
      <c r="A215" s="2">
        <v>210</v>
      </c>
      <c r="B215" s="2">
        <f>MATCH(PlanTable[[#This Row],[Mã thiết bị]],EquipmentInfo[Mã thiết bị],0)</f>
        <v>219</v>
      </c>
      <c r="C215" s="22" t="str">
        <f>INDEX(EquipmentInfo[Tên thiết bị],MATCH(PlanTable[[#This Row],[Mã thiết bị]],EquipmentInfo[Mã thiết bị],0))</f>
        <v>Nhiệt ẩm kế</v>
      </c>
      <c r="D215" s="2" t="s">
        <v>258</v>
      </c>
      <c r="E215" s="2" t="str">
        <f>IF(INDEX(EquipmentInfo[KĐ cân],PlanTable[[#This Row],[I]])=0,"",INDEX(EquipmentInfo[KĐ cân],PlanTable[[#This Row],[I]]))</f>
        <v/>
      </c>
      <c r="F215" s="2" t="str">
        <f>IF(INDEX(EquipmentInfo[KĐ áp kế],PlanTable[[#This Row],[I]])=0,"",INDEX(EquipmentInfo[KĐ áp kế],PlanTable[[#This Row],[I]]))</f>
        <v/>
      </c>
      <c r="G215" s="2" t="str">
        <f>IF(INDEX(EquipmentInfo[KĐ AT],PlanTable[[#This Row],[I]])=0,"",INDEX(EquipmentInfo[KĐ AT],PlanTable[[#This Row],[I]]))</f>
        <v/>
      </c>
      <c r="H215" s="2">
        <f>IF(INDEX(EquipmentInfo[HC],PlanTable[[#This Row],[I]])=0,"",INDEX(EquipmentInfo[HC],PlanTable[[#This Row],[I]]))</f>
        <v>12</v>
      </c>
      <c r="I215" s="2" t="str">
        <f>IF(INDEX(EquipmentInfo[BT],PlanTable[[#This Row],[I]])=0,"",INDEX(EquipmentInfo[BT],PlanTable[[#This Row],[I]]))</f>
        <v/>
      </c>
      <c r="J215" s="2" t="str">
        <f>IF(INDEX(EquipmentInfo[PQ],PlanTable[[#This Row],[I]])=0,"",INDEX(EquipmentInfo[PQ],PlanTable[[#This Row],[I]]))</f>
        <v/>
      </c>
      <c r="K215" s="2"/>
      <c r="L215" s="2"/>
      <c r="M215" s="2"/>
      <c r="N215" s="2"/>
      <c r="O215" s="2" t="s">
        <v>15</v>
      </c>
      <c r="P215" s="2"/>
      <c r="Q215" s="2"/>
      <c r="R215" s="2"/>
      <c r="S215" s="2"/>
      <c r="T215" s="2"/>
      <c r="U215" s="2"/>
      <c r="V215" s="2"/>
      <c r="W215" s="2" t="str">
        <f>IF(INDEX(EquipmentInfo[Thuê CQ],PlanTable[[#This Row],[I]])=0,"",INDEX(EquipmentInfo[Thuê CQ],PlanTable[[#This Row],[I]]))</f>
        <v/>
      </c>
      <c r="X215" s="2" t="str">
        <f>INDEX(EquipmentInfo[Người phụ trách],PlanTable[[#This Row],[I]])</f>
        <v>P. HCQT</v>
      </c>
      <c r="Y215" s="2"/>
      <c r="Z215" s="1"/>
    </row>
    <row r="216" spans="1:26" x14ac:dyDescent="0.25">
      <c r="A216" s="2">
        <v>211</v>
      </c>
      <c r="B216" s="2">
        <f>MATCH(PlanTable[[#This Row],[Mã thiết bị]],EquipmentInfo[Mã thiết bị],0)</f>
        <v>220</v>
      </c>
      <c r="C216" s="22" t="str">
        <f>INDEX(EquipmentInfo[Tên thiết bị],MATCH(PlanTable[[#This Row],[Mã thiết bị]],EquipmentInfo[Mã thiết bị],0))</f>
        <v>Nhiệt ẩm kế</v>
      </c>
      <c r="D216" s="2" t="s">
        <v>259</v>
      </c>
      <c r="E216" s="2" t="str">
        <f>IF(INDEX(EquipmentInfo[KĐ cân],PlanTable[[#This Row],[I]])=0,"",INDEX(EquipmentInfo[KĐ cân],PlanTable[[#This Row],[I]]))</f>
        <v/>
      </c>
      <c r="F216" s="2" t="str">
        <f>IF(INDEX(EquipmentInfo[KĐ áp kế],PlanTable[[#This Row],[I]])=0,"",INDEX(EquipmentInfo[KĐ áp kế],PlanTable[[#This Row],[I]]))</f>
        <v/>
      </c>
      <c r="G216" s="2" t="str">
        <f>IF(INDEX(EquipmentInfo[KĐ AT],PlanTable[[#This Row],[I]])=0,"",INDEX(EquipmentInfo[KĐ AT],PlanTable[[#This Row],[I]]))</f>
        <v/>
      </c>
      <c r="H216" s="2">
        <f>IF(INDEX(EquipmentInfo[HC],PlanTable[[#This Row],[I]])=0,"",INDEX(EquipmentInfo[HC],PlanTable[[#This Row],[I]]))</f>
        <v>12</v>
      </c>
      <c r="I216" s="2" t="str">
        <f>IF(INDEX(EquipmentInfo[BT],PlanTable[[#This Row],[I]])=0,"",INDEX(EquipmentInfo[BT],PlanTable[[#This Row],[I]]))</f>
        <v/>
      </c>
      <c r="J216" s="2" t="str">
        <f>IF(INDEX(EquipmentInfo[PQ],PlanTable[[#This Row],[I]])=0,"",INDEX(EquipmentInfo[PQ],PlanTable[[#This Row],[I]]))</f>
        <v/>
      </c>
      <c r="K216" s="2"/>
      <c r="L216" s="2"/>
      <c r="M216" s="2"/>
      <c r="N216" s="2"/>
      <c r="O216" s="2" t="s">
        <v>15</v>
      </c>
      <c r="P216" s="2"/>
      <c r="Q216" s="2"/>
      <c r="R216" s="2"/>
      <c r="S216" s="2"/>
      <c r="T216" s="2"/>
      <c r="U216" s="2"/>
      <c r="V216" s="2"/>
      <c r="W216" s="2" t="str">
        <f>IF(INDEX(EquipmentInfo[Thuê CQ],PlanTable[[#This Row],[I]])=0,"",INDEX(EquipmentInfo[Thuê CQ],PlanTable[[#This Row],[I]]))</f>
        <v/>
      </c>
      <c r="X216" s="2" t="str">
        <f>INDEX(EquipmentInfo[Người phụ trách],PlanTable[[#This Row],[I]])</f>
        <v>P. HCQT</v>
      </c>
      <c r="Y216" s="2"/>
      <c r="Z216" s="1"/>
    </row>
    <row r="217" spans="1:26" x14ac:dyDescent="0.25">
      <c r="A217" s="2">
        <v>212</v>
      </c>
      <c r="B217" s="2">
        <f>MATCH(PlanTable[[#This Row],[Mã thiết bị]],EquipmentInfo[Mã thiết bị],0)</f>
        <v>221</v>
      </c>
      <c r="C217" s="22" t="str">
        <f>INDEX(EquipmentInfo[Tên thiết bị],MATCH(PlanTable[[#This Row],[Mã thiết bị]],EquipmentInfo[Mã thiết bị],0))</f>
        <v>Nhiệt ẩm kế</v>
      </c>
      <c r="D217" s="2" t="s">
        <v>260</v>
      </c>
      <c r="E217" s="2" t="str">
        <f>IF(INDEX(EquipmentInfo[KĐ cân],PlanTable[[#This Row],[I]])=0,"",INDEX(EquipmentInfo[KĐ cân],PlanTable[[#This Row],[I]]))</f>
        <v/>
      </c>
      <c r="F217" s="2" t="str">
        <f>IF(INDEX(EquipmentInfo[KĐ áp kế],PlanTable[[#This Row],[I]])=0,"",INDEX(EquipmentInfo[KĐ áp kế],PlanTable[[#This Row],[I]]))</f>
        <v/>
      </c>
      <c r="G217" s="2" t="str">
        <f>IF(INDEX(EquipmentInfo[KĐ AT],PlanTable[[#This Row],[I]])=0,"",INDEX(EquipmentInfo[KĐ AT],PlanTable[[#This Row],[I]]))</f>
        <v/>
      </c>
      <c r="H217" s="2">
        <f>IF(INDEX(EquipmentInfo[HC],PlanTable[[#This Row],[I]])=0,"",INDEX(EquipmentInfo[HC],PlanTable[[#This Row],[I]]))</f>
        <v>12</v>
      </c>
      <c r="I217" s="2" t="str">
        <f>IF(INDEX(EquipmentInfo[BT],PlanTable[[#This Row],[I]])=0,"",INDEX(EquipmentInfo[BT],PlanTable[[#This Row],[I]]))</f>
        <v/>
      </c>
      <c r="J217" s="2" t="str">
        <f>IF(INDEX(EquipmentInfo[PQ],PlanTable[[#This Row],[I]])=0,"",INDEX(EquipmentInfo[PQ],PlanTable[[#This Row],[I]]))</f>
        <v/>
      </c>
      <c r="K217" s="2"/>
      <c r="L217" s="2"/>
      <c r="M217" s="2"/>
      <c r="N217" s="2"/>
      <c r="O217" s="2" t="s">
        <v>15</v>
      </c>
      <c r="P217" s="2"/>
      <c r="Q217" s="2"/>
      <c r="R217" s="2"/>
      <c r="S217" s="2"/>
      <c r="T217" s="2"/>
      <c r="U217" s="2"/>
      <c r="V217" s="2"/>
      <c r="W217" s="2" t="str">
        <f>IF(INDEX(EquipmentInfo[Thuê CQ],PlanTable[[#This Row],[I]])=0,"",INDEX(EquipmentInfo[Thuê CQ],PlanTable[[#This Row],[I]]))</f>
        <v/>
      </c>
      <c r="X217" s="2" t="str">
        <f>INDEX(EquipmentInfo[Người phụ trách],PlanTable[[#This Row],[I]])</f>
        <v>P. HCQT</v>
      </c>
      <c r="Y217" s="2"/>
      <c r="Z217" s="1"/>
    </row>
    <row r="218" spans="1:26" x14ac:dyDescent="0.25">
      <c r="A218" s="2">
        <v>213</v>
      </c>
      <c r="B218" s="2">
        <f>MATCH(PlanTable[[#This Row],[Mã thiết bị]],EquipmentInfo[Mã thiết bị],0)</f>
        <v>222</v>
      </c>
      <c r="C218" s="22" t="str">
        <f>INDEX(EquipmentInfo[Tên thiết bị],MATCH(PlanTable[[#This Row],[Mã thiết bị]],EquipmentInfo[Mã thiết bị],0))</f>
        <v>Nhiệt ẩm kế</v>
      </c>
      <c r="D218" s="2" t="s">
        <v>261</v>
      </c>
      <c r="E218" s="2" t="str">
        <f>IF(INDEX(EquipmentInfo[KĐ cân],PlanTable[[#This Row],[I]])=0,"",INDEX(EquipmentInfo[KĐ cân],PlanTable[[#This Row],[I]]))</f>
        <v/>
      </c>
      <c r="F218" s="2" t="str">
        <f>IF(INDEX(EquipmentInfo[KĐ áp kế],PlanTable[[#This Row],[I]])=0,"",INDEX(EquipmentInfo[KĐ áp kế],PlanTable[[#This Row],[I]]))</f>
        <v/>
      </c>
      <c r="G218" s="2" t="str">
        <f>IF(INDEX(EquipmentInfo[KĐ AT],PlanTable[[#This Row],[I]])=0,"",INDEX(EquipmentInfo[KĐ AT],PlanTable[[#This Row],[I]]))</f>
        <v/>
      </c>
      <c r="H218" s="2">
        <f>IF(INDEX(EquipmentInfo[HC],PlanTable[[#This Row],[I]])=0,"",INDEX(EquipmentInfo[HC],PlanTable[[#This Row],[I]]))</f>
        <v>12</v>
      </c>
      <c r="I218" s="2" t="str">
        <f>IF(INDEX(EquipmentInfo[BT],PlanTable[[#This Row],[I]])=0,"",INDEX(EquipmentInfo[BT],PlanTable[[#This Row],[I]]))</f>
        <v/>
      </c>
      <c r="J218" s="2" t="str">
        <f>IF(INDEX(EquipmentInfo[PQ],PlanTable[[#This Row],[I]])=0,"",INDEX(EquipmentInfo[PQ],PlanTable[[#This Row],[I]]))</f>
        <v/>
      </c>
      <c r="K218" s="2"/>
      <c r="L218" s="2"/>
      <c r="M218" s="2"/>
      <c r="N218" s="2"/>
      <c r="O218" s="2" t="s">
        <v>15</v>
      </c>
      <c r="P218" s="2"/>
      <c r="Q218" s="2"/>
      <c r="R218" s="2"/>
      <c r="S218" s="2"/>
      <c r="T218" s="2"/>
      <c r="U218" s="2"/>
      <c r="V218" s="2"/>
      <c r="W218" s="2" t="str">
        <f>IF(INDEX(EquipmentInfo[Thuê CQ],PlanTable[[#This Row],[I]])=0,"",INDEX(EquipmentInfo[Thuê CQ],PlanTable[[#This Row],[I]]))</f>
        <v/>
      </c>
      <c r="X218" s="2" t="str">
        <f>INDEX(EquipmentInfo[Người phụ trách],PlanTable[[#This Row],[I]])</f>
        <v>P. HCQT</v>
      </c>
      <c r="Y218" s="2"/>
      <c r="Z218" s="1"/>
    </row>
    <row r="219" spans="1:26" x14ac:dyDescent="0.25">
      <c r="A219" s="2">
        <v>214</v>
      </c>
      <c r="B219" s="2">
        <f>MATCH(PlanTable[[#This Row],[Mã thiết bị]],EquipmentInfo[Mã thiết bị],0)</f>
        <v>223</v>
      </c>
      <c r="C219" s="22" t="str">
        <f>INDEX(EquipmentInfo[Tên thiết bị],MATCH(PlanTable[[#This Row],[Mã thiết bị]],EquipmentInfo[Mã thiết bị],0))</f>
        <v>Nhiệt ẩm kế</v>
      </c>
      <c r="D219" s="2" t="s">
        <v>262</v>
      </c>
      <c r="E219" s="2" t="str">
        <f>IF(INDEX(EquipmentInfo[KĐ cân],PlanTable[[#This Row],[I]])=0,"",INDEX(EquipmentInfo[KĐ cân],PlanTable[[#This Row],[I]]))</f>
        <v/>
      </c>
      <c r="F219" s="2" t="str">
        <f>IF(INDEX(EquipmentInfo[KĐ áp kế],PlanTable[[#This Row],[I]])=0,"",INDEX(EquipmentInfo[KĐ áp kế],PlanTable[[#This Row],[I]]))</f>
        <v/>
      </c>
      <c r="G219" s="2" t="str">
        <f>IF(INDEX(EquipmentInfo[KĐ AT],PlanTable[[#This Row],[I]])=0,"",INDEX(EquipmentInfo[KĐ AT],PlanTable[[#This Row],[I]]))</f>
        <v/>
      </c>
      <c r="H219" s="2">
        <f>IF(INDEX(EquipmentInfo[HC],PlanTable[[#This Row],[I]])=0,"",INDEX(EquipmentInfo[HC],PlanTable[[#This Row],[I]]))</f>
        <v>12</v>
      </c>
      <c r="I219" s="2" t="str">
        <f>IF(INDEX(EquipmentInfo[BT],PlanTable[[#This Row],[I]])=0,"",INDEX(EquipmentInfo[BT],PlanTable[[#This Row],[I]]))</f>
        <v/>
      </c>
      <c r="J219" s="2" t="str">
        <f>IF(INDEX(EquipmentInfo[PQ],PlanTable[[#This Row],[I]])=0,"",INDEX(EquipmentInfo[PQ],PlanTable[[#This Row],[I]]))</f>
        <v/>
      </c>
      <c r="K219" s="2"/>
      <c r="L219" s="2"/>
      <c r="M219" s="2"/>
      <c r="N219" s="2"/>
      <c r="O219" s="2" t="s">
        <v>15</v>
      </c>
      <c r="P219" s="2"/>
      <c r="Q219" s="2"/>
      <c r="R219" s="2"/>
      <c r="S219" s="2"/>
      <c r="T219" s="2"/>
      <c r="U219" s="2"/>
      <c r="V219" s="2"/>
      <c r="W219" s="2" t="str">
        <f>IF(INDEX(EquipmentInfo[Thuê CQ],PlanTable[[#This Row],[I]])=0,"",INDEX(EquipmentInfo[Thuê CQ],PlanTable[[#This Row],[I]]))</f>
        <v/>
      </c>
      <c r="X219" s="2" t="str">
        <f>INDEX(EquipmentInfo[Người phụ trách],PlanTable[[#This Row],[I]])</f>
        <v>P. HCQT</v>
      </c>
      <c r="Y219" s="2"/>
      <c r="Z219" s="1"/>
    </row>
    <row r="220" spans="1:26" x14ac:dyDescent="0.25">
      <c r="A220" s="2">
        <v>215</v>
      </c>
      <c r="B220" s="2">
        <f>MATCH(PlanTable[[#This Row],[Mã thiết bị]],EquipmentInfo[Mã thiết bị],0)</f>
        <v>224</v>
      </c>
      <c r="C220" s="22" t="str">
        <f>INDEX(EquipmentInfo[Tên thiết bị],MATCH(PlanTable[[#This Row],[Mã thiết bị]],EquipmentInfo[Mã thiết bị],0))</f>
        <v>Nhiệt ẩm kế</v>
      </c>
      <c r="D220" s="2" t="s">
        <v>263</v>
      </c>
      <c r="E220" s="2" t="str">
        <f>IF(INDEX(EquipmentInfo[KĐ cân],PlanTable[[#This Row],[I]])=0,"",INDEX(EquipmentInfo[KĐ cân],PlanTable[[#This Row],[I]]))</f>
        <v/>
      </c>
      <c r="F220" s="2" t="str">
        <f>IF(INDEX(EquipmentInfo[KĐ áp kế],PlanTable[[#This Row],[I]])=0,"",INDEX(EquipmentInfo[KĐ áp kế],PlanTable[[#This Row],[I]]))</f>
        <v/>
      </c>
      <c r="G220" s="2" t="str">
        <f>IF(INDEX(EquipmentInfo[KĐ AT],PlanTable[[#This Row],[I]])=0,"",INDEX(EquipmentInfo[KĐ AT],PlanTable[[#This Row],[I]]))</f>
        <v/>
      </c>
      <c r="H220" s="2">
        <f>IF(INDEX(EquipmentInfo[HC],PlanTable[[#This Row],[I]])=0,"",INDEX(EquipmentInfo[HC],PlanTable[[#This Row],[I]]))</f>
        <v>12</v>
      </c>
      <c r="I220" s="2" t="str">
        <f>IF(INDEX(EquipmentInfo[BT],PlanTable[[#This Row],[I]])=0,"",INDEX(EquipmentInfo[BT],PlanTable[[#This Row],[I]]))</f>
        <v/>
      </c>
      <c r="J220" s="2" t="str">
        <f>IF(INDEX(EquipmentInfo[PQ],PlanTable[[#This Row],[I]])=0,"",INDEX(EquipmentInfo[PQ],PlanTable[[#This Row],[I]]))</f>
        <v/>
      </c>
      <c r="K220" s="2"/>
      <c r="L220" s="2"/>
      <c r="M220" s="2"/>
      <c r="N220" s="2"/>
      <c r="O220" s="2" t="s">
        <v>15</v>
      </c>
      <c r="P220" s="2"/>
      <c r="Q220" s="2"/>
      <c r="R220" s="2"/>
      <c r="S220" s="2"/>
      <c r="T220" s="2"/>
      <c r="U220" s="2"/>
      <c r="V220" s="2"/>
      <c r="W220" s="2" t="str">
        <f>IF(INDEX(EquipmentInfo[Thuê CQ],PlanTable[[#This Row],[I]])=0,"",INDEX(EquipmentInfo[Thuê CQ],PlanTable[[#This Row],[I]]))</f>
        <v/>
      </c>
      <c r="X220" s="2" t="str">
        <f>INDEX(EquipmentInfo[Người phụ trách],PlanTable[[#This Row],[I]])</f>
        <v>P. HCQT</v>
      </c>
      <c r="Y220" s="2"/>
      <c r="Z220" s="1"/>
    </row>
    <row r="221" spans="1:26" x14ac:dyDescent="0.25">
      <c r="A221" s="2">
        <v>216</v>
      </c>
      <c r="B221" s="2">
        <f>MATCH(PlanTable[[#This Row],[Mã thiết bị]],EquipmentInfo[Mã thiết bị],0)</f>
        <v>225</v>
      </c>
      <c r="C221" s="22" t="str">
        <f>INDEX(EquipmentInfo[Tên thiết bị],MATCH(PlanTable[[#This Row],[Mã thiết bị]],EquipmentInfo[Mã thiết bị],0))</f>
        <v>Nhiệt ẩm kế</v>
      </c>
      <c r="D221" s="2" t="s">
        <v>264</v>
      </c>
      <c r="E221" s="2" t="str">
        <f>IF(INDEX(EquipmentInfo[KĐ cân],PlanTable[[#This Row],[I]])=0,"",INDEX(EquipmentInfo[KĐ cân],PlanTable[[#This Row],[I]]))</f>
        <v/>
      </c>
      <c r="F221" s="2" t="str">
        <f>IF(INDEX(EquipmentInfo[KĐ áp kế],PlanTable[[#This Row],[I]])=0,"",INDEX(EquipmentInfo[KĐ áp kế],PlanTable[[#This Row],[I]]))</f>
        <v/>
      </c>
      <c r="G221" s="2" t="str">
        <f>IF(INDEX(EquipmentInfo[KĐ AT],PlanTable[[#This Row],[I]])=0,"",INDEX(EquipmentInfo[KĐ AT],PlanTable[[#This Row],[I]]))</f>
        <v/>
      </c>
      <c r="H221" s="2">
        <f>IF(INDEX(EquipmentInfo[HC],PlanTable[[#This Row],[I]])=0,"",INDEX(EquipmentInfo[HC],PlanTable[[#This Row],[I]]))</f>
        <v>12</v>
      </c>
      <c r="I221" s="2" t="str">
        <f>IF(INDEX(EquipmentInfo[BT],PlanTable[[#This Row],[I]])=0,"",INDEX(EquipmentInfo[BT],PlanTable[[#This Row],[I]]))</f>
        <v/>
      </c>
      <c r="J221" s="2" t="str">
        <f>IF(INDEX(EquipmentInfo[PQ],PlanTable[[#This Row],[I]])=0,"",INDEX(EquipmentInfo[PQ],PlanTable[[#This Row],[I]]))</f>
        <v/>
      </c>
      <c r="K221" s="2"/>
      <c r="L221" s="2"/>
      <c r="M221" s="2"/>
      <c r="N221" s="2"/>
      <c r="O221" s="2" t="s">
        <v>15</v>
      </c>
      <c r="P221" s="2"/>
      <c r="Q221" s="2"/>
      <c r="R221" s="2"/>
      <c r="S221" s="2"/>
      <c r="T221" s="2"/>
      <c r="U221" s="2"/>
      <c r="V221" s="2"/>
      <c r="W221" s="2" t="str">
        <f>IF(INDEX(EquipmentInfo[Thuê CQ],PlanTable[[#This Row],[I]])=0,"",INDEX(EquipmentInfo[Thuê CQ],PlanTable[[#This Row],[I]]))</f>
        <v/>
      </c>
      <c r="X221" s="2" t="str">
        <f>INDEX(EquipmentInfo[Người phụ trách],PlanTable[[#This Row],[I]])</f>
        <v>P. HCQT</v>
      </c>
      <c r="Y221" s="2"/>
      <c r="Z221" s="1"/>
    </row>
    <row r="222" spans="1:26" x14ac:dyDescent="0.25">
      <c r="A222" s="2">
        <v>217</v>
      </c>
      <c r="B222" s="2">
        <f>MATCH(PlanTable[[#This Row],[Mã thiết bị]],EquipmentInfo[Mã thiết bị],0)</f>
        <v>226</v>
      </c>
      <c r="C222" s="22" t="str">
        <f>INDEX(EquipmentInfo[Tên thiết bị],MATCH(PlanTable[[#This Row],[Mã thiết bị]],EquipmentInfo[Mã thiết bị],0))</f>
        <v>Nhiệt ẩm kế</v>
      </c>
      <c r="D222" s="2" t="s">
        <v>265</v>
      </c>
      <c r="E222" s="2" t="str">
        <f>IF(INDEX(EquipmentInfo[KĐ cân],PlanTable[[#This Row],[I]])=0,"",INDEX(EquipmentInfo[KĐ cân],PlanTable[[#This Row],[I]]))</f>
        <v/>
      </c>
      <c r="F222" s="2" t="str">
        <f>IF(INDEX(EquipmentInfo[KĐ áp kế],PlanTable[[#This Row],[I]])=0,"",INDEX(EquipmentInfo[KĐ áp kế],PlanTable[[#This Row],[I]]))</f>
        <v/>
      </c>
      <c r="G222" s="2" t="str">
        <f>IF(INDEX(EquipmentInfo[KĐ AT],PlanTable[[#This Row],[I]])=0,"",INDEX(EquipmentInfo[KĐ AT],PlanTable[[#This Row],[I]]))</f>
        <v/>
      </c>
      <c r="H222" s="2">
        <f>IF(INDEX(EquipmentInfo[HC],PlanTable[[#This Row],[I]])=0,"",INDEX(EquipmentInfo[HC],PlanTable[[#This Row],[I]]))</f>
        <v>12</v>
      </c>
      <c r="I222" s="2" t="str">
        <f>IF(INDEX(EquipmentInfo[BT],PlanTable[[#This Row],[I]])=0,"",INDEX(EquipmentInfo[BT],PlanTable[[#This Row],[I]]))</f>
        <v/>
      </c>
      <c r="J222" s="2" t="str">
        <f>IF(INDEX(EquipmentInfo[PQ],PlanTable[[#This Row],[I]])=0,"",INDEX(EquipmentInfo[PQ],PlanTable[[#This Row],[I]]))</f>
        <v/>
      </c>
      <c r="K222" s="2"/>
      <c r="L222" s="2"/>
      <c r="M222" s="2"/>
      <c r="N222" s="2"/>
      <c r="O222" s="2" t="s">
        <v>15</v>
      </c>
      <c r="P222" s="2"/>
      <c r="Q222" s="2"/>
      <c r="R222" s="2"/>
      <c r="S222" s="2"/>
      <c r="T222" s="2"/>
      <c r="U222" s="2"/>
      <c r="V222" s="2"/>
      <c r="W222" s="2" t="str">
        <f>IF(INDEX(EquipmentInfo[Thuê CQ],PlanTable[[#This Row],[I]])=0,"",INDEX(EquipmentInfo[Thuê CQ],PlanTable[[#This Row],[I]]))</f>
        <v/>
      </c>
      <c r="X222" s="2" t="str">
        <f>INDEX(EquipmentInfo[Người phụ trách],PlanTable[[#This Row],[I]])</f>
        <v>P. HCQT</v>
      </c>
      <c r="Y222" s="2"/>
      <c r="Z222" s="1"/>
    </row>
    <row r="223" spans="1:26" x14ac:dyDescent="0.25">
      <c r="A223" s="2">
        <v>218</v>
      </c>
      <c r="B223" s="2">
        <f>MATCH(PlanTable[[#This Row],[Mã thiết bị]],EquipmentInfo[Mã thiết bị],0)</f>
        <v>227</v>
      </c>
      <c r="C223" s="22" t="str">
        <f>INDEX(EquipmentInfo[Tên thiết bị],MATCH(PlanTable[[#This Row],[Mã thiết bị]],EquipmentInfo[Mã thiết bị],0))</f>
        <v>Nhiệt ẩm kế</v>
      </c>
      <c r="D223" s="2" t="s">
        <v>266</v>
      </c>
      <c r="E223" s="2" t="str">
        <f>IF(INDEX(EquipmentInfo[KĐ cân],PlanTable[[#This Row],[I]])=0,"",INDEX(EquipmentInfo[KĐ cân],PlanTable[[#This Row],[I]]))</f>
        <v/>
      </c>
      <c r="F223" s="2" t="str">
        <f>IF(INDEX(EquipmentInfo[KĐ áp kế],PlanTable[[#This Row],[I]])=0,"",INDEX(EquipmentInfo[KĐ áp kế],PlanTable[[#This Row],[I]]))</f>
        <v/>
      </c>
      <c r="G223" s="2" t="str">
        <f>IF(INDEX(EquipmentInfo[KĐ AT],PlanTable[[#This Row],[I]])=0,"",INDEX(EquipmentInfo[KĐ AT],PlanTable[[#This Row],[I]]))</f>
        <v/>
      </c>
      <c r="H223" s="2">
        <f>IF(INDEX(EquipmentInfo[HC],PlanTable[[#This Row],[I]])=0,"",INDEX(EquipmentInfo[HC],PlanTable[[#This Row],[I]]))</f>
        <v>12</v>
      </c>
      <c r="I223" s="2" t="str">
        <f>IF(INDEX(EquipmentInfo[BT],PlanTable[[#This Row],[I]])=0,"",INDEX(EquipmentInfo[BT],PlanTable[[#This Row],[I]]))</f>
        <v/>
      </c>
      <c r="J223" s="2" t="str">
        <f>IF(INDEX(EquipmentInfo[PQ],PlanTable[[#This Row],[I]])=0,"",INDEX(EquipmentInfo[PQ],PlanTable[[#This Row],[I]]))</f>
        <v/>
      </c>
      <c r="K223" s="2"/>
      <c r="L223" s="2"/>
      <c r="M223" s="2"/>
      <c r="N223" s="2"/>
      <c r="O223" s="2" t="s">
        <v>15</v>
      </c>
      <c r="P223" s="2"/>
      <c r="Q223" s="2"/>
      <c r="R223" s="2"/>
      <c r="S223" s="2"/>
      <c r="T223" s="2"/>
      <c r="U223" s="2"/>
      <c r="V223" s="2"/>
      <c r="W223" s="2" t="str">
        <f>IF(INDEX(EquipmentInfo[Thuê CQ],PlanTable[[#This Row],[I]])=0,"",INDEX(EquipmentInfo[Thuê CQ],PlanTable[[#This Row],[I]]))</f>
        <v/>
      </c>
      <c r="X223" s="2" t="str">
        <f>INDEX(EquipmentInfo[Người phụ trách],PlanTable[[#This Row],[I]])</f>
        <v>P. HCQT</v>
      </c>
      <c r="Y223" s="2"/>
      <c r="Z223" s="1"/>
    </row>
    <row r="224" spans="1:26" x14ac:dyDescent="0.25">
      <c r="A224" s="2">
        <v>219</v>
      </c>
      <c r="B224" s="2">
        <f>MATCH(PlanTable[[#This Row],[Mã thiết bị]],EquipmentInfo[Mã thiết bị],0)</f>
        <v>228</v>
      </c>
      <c r="C224" s="22" t="str">
        <f>INDEX(EquipmentInfo[Tên thiết bị],MATCH(PlanTable[[#This Row],[Mã thiết bị]],EquipmentInfo[Mã thiết bị],0))</f>
        <v>Cân kỹ thuật ML 203</v>
      </c>
      <c r="D224" s="2" t="s">
        <v>273</v>
      </c>
      <c r="E224" s="2">
        <f>IF(INDEX(EquipmentInfo[KĐ cân],PlanTable[[#This Row],[I]])=0,"",INDEX(EquipmentInfo[KĐ cân],PlanTable[[#This Row],[I]]))</f>
        <v>12</v>
      </c>
      <c r="F224" s="2" t="str">
        <f>IF(INDEX(EquipmentInfo[KĐ áp kế],PlanTable[[#This Row],[I]])=0,"",INDEX(EquipmentInfo[KĐ áp kế],PlanTable[[#This Row],[I]]))</f>
        <v/>
      </c>
      <c r="G224" s="2" t="str">
        <f>IF(INDEX(EquipmentInfo[KĐ AT],PlanTable[[#This Row],[I]])=0,"",INDEX(EquipmentInfo[KĐ AT],PlanTable[[#This Row],[I]]))</f>
        <v/>
      </c>
      <c r="H224" s="2">
        <f>IF(INDEX(EquipmentInfo[HC],PlanTable[[#This Row],[I]])=0,"",INDEX(EquipmentInfo[HC],PlanTable[[#This Row],[I]]))</f>
        <v>12</v>
      </c>
      <c r="I224" s="2">
        <f>IF(INDEX(EquipmentInfo[BT],PlanTable[[#This Row],[I]])=0,"",INDEX(EquipmentInfo[BT],PlanTable[[#This Row],[I]]))</f>
        <v>3</v>
      </c>
      <c r="J224" s="2" t="str">
        <f>IF(INDEX(EquipmentInfo[PQ],PlanTable[[#This Row],[I]])=0,"",INDEX(EquipmentInfo[PQ],PlanTable[[#This Row],[I]]))</f>
        <v/>
      </c>
      <c r="K224" s="2" t="s">
        <v>16</v>
      </c>
      <c r="L224" s="2"/>
      <c r="M224" s="2" t="s">
        <v>17</v>
      </c>
      <c r="N224" s="2" t="s">
        <v>16</v>
      </c>
      <c r="O224" s="2"/>
      <c r="P224" s="2"/>
      <c r="Q224" s="2" t="s">
        <v>15</v>
      </c>
      <c r="R224" s="2"/>
      <c r="S224" s="2"/>
      <c r="T224" s="2" t="s">
        <v>16</v>
      </c>
      <c r="U224" s="2"/>
      <c r="V224" s="2"/>
      <c r="W224" s="2" t="str">
        <f>IF(INDEX(EquipmentInfo[Thuê CQ],PlanTable[[#This Row],[I]])=0,"",INDEX(EquipmentInfo[Thuê CQ],PlanTable[[#This Row],[I]]))</f>
        <v>x</v>
      </c>
      <c r="X224" s="2" t="str">
        <f>INDEX(EquipmentInfo[Người phụ trách],PlanTable[[#This Row],[I]])</f>
        <v>Thúy</v>
      </c>
      <c r="Y224" s="2"/>
      <c r="Z224" s="1"/>
    </row>
    <row r="225" spans="1:26" x14ac:dyDescent="0.25">
      <c r="A225" s="2">
        <v>220</v>
      </c>
      <c r="B225" s="2">
        <f>MATCH(PlanTable[[#This Row],[Mã thiết bị]],EquipmentInfo[Mã thiết bị],0)</f>
        <v>229</v>
      </c>
      <c r="C225" s="22" t="str">
        <f>INDEX(EquipmentInfo[Tên thiết bị],MATCH(PlanTable[[#This Row],[Mã thiết bị]],EquipmentInfo[Mã thiết bị],0))</f>
        <v>Cân đo hàm ẩm MA45</v>
      </c>
      <c r="D225" s="2" t="s">
        <v>274</v>
      </c>
      <c r="E225" s="2">
        <f>IF(INDEX(EquipmentInfo[KĐ cân],PlanTable[[#This Row],[I]])=0,"",INDEX(EquipmentInfo[KĐ cân],PlanTable[[#This Row],[I]]))</f>
        <v>12</v>
      </c>
      <c r="F225" s="2" t="str">
        <f>IF(INDEX(EquipmentInfo[KĐ áp kế],PlanTable[[#This Row],[I]])=0,"",INDEX(EquipmentInfo[KĐ áp kế],PlanTable[[#This Row],[I]]))</f>
        <v/>
      </c>
      <c r="G225" s="2" t="str">
        <f>IF(INDEX(EquipmentInfo[KĐ AT],PlanTable[[#This Row],[I]])=0,"",INDEX(EquipmentInfo[KĐ AT],PlanTable[[#This Row],[I]]))</f>
        <v/>
      </c>
      <c r="H225" s="2">
        <f>IF(INDEX(EquipmentInfo[HC],PlanTable[[#This Row],[I]])=0,"",INDEX(EquipmentInfo[HC],PlanTable[[#This Row],[I]]))</f>
        <v>12</v>
      </c>
      <c r="I225" s="2">
        <f>IF(INDEX(EquipmentInfo[BT],PlanTable[[#This Row],[I]])=0,"",INDEX(EquipmentInfo[BT],PlanTable[[#This Row],[I]]))</f>
        <v>3</v>
      </c>
      <c r="J225" s="2" t="str">
        <f>IF(INDEX(EquipmentInfo[PQ],PlanTable[[#This Row],[I]])=0,"",INDEX(EquipmentInfo[PQ],PlanTable[[#This Row],[I]]))</f>
        <v/>
      </c>
      <c r="K225" s="2" t="s">
        <v>16</v>
      </c>
      <c r="L225" s="2"/>
      <c r="M225" s="2" t="s">
        <v>17</v>
      </c>
      <c r="N225" s="2" t="s">
        <v>16</v>
      </c>
      <c r="O225" s="2"/>
      <c r="P225" s="2"/>
      <c r="Q225" s="2" t="s">
        <v>15</v>
      </c>
      <c r="R225" s="2"/>
      <c r="S225" s="2"/>
      <c r="T225" s="2" t="s">
        <v>16</v>
      </c>
      <c r="U225" s="2"/>
      <c r="V225" s="2"/>
      <c r="W225" s="2" t="str">
        <f>IF(INDEX(EquipmentInfo[Thuê CQ],PlanTable[[#This Row],[I]])=0,"",INDEX(EquipmentInfo[Thuê CQ],PlanTable[[#This Row],[I]]))</f>
        <v>x</v>
      </c>
      <c r="X225" s="2" t="str">
        <f>INDEX(EquipmentInfo[Người phụ trách],PlanTable[[#This Row],[I]])</f>
        <v>Thúy</v>
      </c>
      <c r="Y225" s="2"/>
      <c r="Z225" s="1"/>
    </row>
    <row r="226" spans="1:26" ht="30" x14ac:dyDescent="0.25">
      <c r="A226" s="2">
        <v>221</v>
      </c>
      <c r="B226" s="2">
        <f>MATCH(PlanTable[[#This Row],[Mã thiết bị]],EquipmentInfo[Mã thiết bị],0)</f>
        <v>230</v>
      </c>
      <c r="C226" s="22" t="str">
        <f>INDEX(EquipmentInfo[Tên thiết bị],MATCH(PlanTable[[#This Row],[Mã thiết bị]],EquipmentInfo[Mã thiết bị],0))</f>
        <v>Máy đo pH Mettler Toledo</v>
      </c>
      <c r="D226" s="2" t="s">
        <v>275</v>
      </c>
      <c r="E226" s="2" t="str">
        <f>IF(INDEX(EquipmentInfo[KĐ cân],PlanTable[[#This Row],[I]])=0,"",INDEX(EquipmentInfo[KĐ cân],PlanTable[[#This Row],[I]]))</f>
        <v/>
      </c>
      <c r="F226" s="2" t="str">
        <f>IF(INDEX(EquipmentInfo[KĐ áp kế],PlanTable[[#This Row],[I]])=0,"",INDEX(EquipmentInfo[KĐ áp kế],PlanTable[[#This Row],[I]]))</f>
        <v/>
      </c>
      <c r="G226" s="2" t="str">
        <f>IF(INDEX(EquipmentInfo[KĐ AT],PlanTable[[#This Row],[I]])=0,"",INDEX(EquipmentInfo[KĐ AT],PlanTable[[#This Row],[I]]))</f>
        <v/>
      </c>
      <c r="H226" s="2">
        <f>IF(INDEX(EquipmentInfo[HC],PlanTable[[#This Row],[I]])=0,"",INDEX(EquipmentInfo[HC],PlanTable[[#This Row],[I]]))</f>
        <v>12</v>
      </c>
      <c r="I226" s="2">
        <f>IF(INDEX(EquipmentInfo[BT],PlanTable[[#This Row],[I]])=0,"",INDEX(EquipmentInfo[BT],PlanTable[[#This Row],[I]]))</f>
        <v>6</v>
      </c>
      <c r="J226" s="2" t="str">
        <f>IF(INDEX(EquipmentInfo[PQ],PlanTable[[#This Row],[I]])=0,"",INDEX(EquipmentInfo[PQ],PlanTable[[#This Row],[I]]))</f>
        <v/>
      </c>
      <c r="K226" s="2"/>
      <c r="L226" s="2"/>
      <c r="M226" s="2"/>
      <c r="N226" s="2"/>
      <c r="O226" s="2" t="s">
        <v>150</v>
      </c>
      <c r="P226" s="2"/>
      <c r="Q226" s="2"/>
      <c r="R226" s="2"/>
      <c r="S226" s="2"/>
      <c r="T226" s="2"/>
      <c r="U226" s="2" t="s">
        <v>16</v>
      </c>
      <c r="V226" s="2"/>
      <c r="W226" s="2" t="str">
        <f>IF(INDEX(EquipmentInfo[Thuê CQ],PlanTable[[#This Row],[I]])=0,"",INDEX(EquipmentInfo[Thuê CQ],PlanTable[[#This Row],[I]]))</f>
        <v/>
      </c>
      <c r="X226" s="2" t="str">
        <f>INDEX(EquipmentInfo[Người phụ trách],PlanTable[[#This Row],[I]])</f>
        <v>Thúy</v>
      </c>
      <c r="Y226" s="2"/>
      <c r="Z226" s="1"/>
    </row>
    <row r="227" spans="1:26" x14ac:dyDescent="0.25">
      <c r="A227" s="2">
        <v>222</v>
      </c>
      <c r="B227" s="2">
        <f>MATCH(PlanTable[[#This Row],[Mã thiết bị]],EquipmentInfo[Mã thiết bị],0)</f>
        <v>231</v>
      </c>
      <c r="C227" s="22" t="str">
        <f>INDEX(EquipmentInfo[Tên thiết bị],MATCH(PlanTable[[#This Row],[Mã thiết bị]],EquipmentInfo[Mã thiết bị],0))</f>
        <v>Máy thử độ kín Askir</v>
      </c>
      <c r="D227" s="2" t="s">
        <v>276</v>
      </c>
      <c r="E227" s="2" t="str">
        <f>IF(INDEX(EquipmentInfo[KĐ cân],PlanTable[[#This Row],[I]])=0,"",INDEX(EquipmentInfo[KĐ cân],PlanTable[[#This Row],[I]]))</f>
        <v/>
      </c>
      <c r="F227" s="2" t="str">
        <f>IF(INDEX(EquipmentInfo[KĐ áp kế],PlanTable[[#This Row],[I]])=0,"",INDEX(EquipmentInfo[KĐ áp kế],PlanTable[[#This Row],[I]]))</f>
        <v/>
      </c>
      <c r="G227" s="2" t="str">
        <f>IF(INDEX(EquipmentInfo[KĐ AT],PlanTable[[#This Row],[I]])=0,"",INDEX(EquipmentInfo[KĐ AT],PlanTable[[#This Row],[I]]))</f>
        <v/>
      </c>
      <c r="H227" s="2" t="str">
        <f>IF(INDEX(EquipmentInfo[HC],PlanTable[[#This Row],[I]])=0,"",INDEX(EquipmentInfo[HC],PlanTable[[#This Row],[I]]))</f>
        <v/>
      </c>
      <c r="I227" s="2">
        <f>IF(INDEX(EquipmentInfo[BT],PlanTable[[#This Row],[I]])=0,"",INDEX(EquipmentInfo[BT],PlanTable[[#This Row],[I]]))</f>
        <v>12</v>
      </c>
      <c r="J227" s="2" t="str">
        <f>IF(INDEX(EquipmentInfo[PQ],PlanTable[[#This Row],[I]])=0,"",INDEX(EquipmentInfo[PQ],PlanTable[[#This Row],[I]]))</f>
        <v/>
      </c>
      <c r="K227" s="2"/>
      <c r="L227" s="2"/>
      <c r="M227" s="2"/>
      <c r="N227" s="2"/>
      <c r="O227" s="2"/>
      <c r="P227" s="2"/>
      <c r="Q227" s="2"/>
      <c r="R227" s="2"/>
      <c r="S227" s="2" t="s">
        <v>16</v>
      </c>
      <c r="T227" s="2"/>
      <c r="U227" s="2"/>
      <c r="V227" s="2"/>
      <c r="W227" s="2" t="str">
        <f>IF(INDEX(EquipmentInfo[Thuê CQ],PlanTable[[#This Row],[I]])=0,"",INDEX(EquipmentInfo[Thuê CQ],PlanTable[[#This Row],[I]]))</f>
        <v/>
      </c>
      <c r="X227" s="2" t="str">
        <f>INDEX(EquipmentInfo[Người phụ trách],PlanTable[[#This Row],[I]])</f>
        <v>Thúy</v>
      </c>
      <c r="Y227" s="2"/>
      <c r="Z227" s="1"/>
    </row>
    <row r="228" spans="1:26" x14ac:dyDescent="0.25">
      <c r="A228" s="2">
        <v>223</v>
      </c>
      <c r="B228" s="2">
        <f>MATCH(PlanTable[[#This Row],[Mã thiết bị]],EquipmentInfo[Mã thiết bị],0)</f>
        <v>232</v>
      </c>
      <c r="C228" s="22" t="str">
        <f>INDEX(EquipmentInfo[Tên thiết bị],MATCH(PlanTable[[#This Row],[Mã thiết bị]],EquipmentInfo[Mã thiết bị],0))</f>
        <v>Máy đo độ rã Erweka ZT 222</v>
      </c>
      <c r="D228" s="2" t="s">
        <v>277</v>
      </c>
      <c r="E228" s="2" t="str">
        <f>IF(INDEX(EquipmentInfo[KĐ cân],PlanTable[[#This Row],[I]])=0,"",INDEX(EquipmentInfo[KĐ cân],PlanTable[[#This Row],[I]]))</f>
        <v/>
      </c>
      <c r="F228" s="2" t="str">
        <f>IF(INDEX(EquipmentInfo[KĐ áp kế],PlanTable[[#This Row],[I]])=0,"",INDEX(EquipmentInfo[KĐ áp kế],PlanTable[[#This Row],[I]]))</f>
        <v/>
      </c>
      <c r="G228" s="2" t="str">
        <f>IF(INDEX(EquipmentInfo[KĐ AT],PlanTable[[#This Row],[I]])=0,"",INDEX(EquipmentInfo[KĐ AT],PlanTable[[#This Row],[I]]))</f>
        <v/>
      </c>
      <c r="H228" s="2">
        <f>IF(INDEX(EquipmentInfo[HC],PlanTable[[#This Row],[I]])=0,"",INDEX(EquipmentInfo[HC],PlanTable[[#This Row],[I]]))</f>
        <v>12</v>
      </c>
      <c r="I228" s="2" t="str">
        <f>IF(INDEX(EquipmentInfo[BT],PlanTable[[#This Row],[I]])=0,"",INDEX(EquipmentInfo[BT],PlanTable[[#This Row],[I]]))</f>
        <v/>
      </c>
      <c r="J228" s="2" t="str">
        <f>IF(INDEX(EquipmentInfo[PQ],PlanTable[[#This Row],[I]])=0,"",INDEX(EquipmentInfo[PQ],PlanTable[[#This Row],[I]]))</f>
        <v/>
      </c>
      <c r="K228" s="2"/>
      <c r="L228" s="2"/>
      <c r="M228" s="2"/>
      <c r="N228" s="2"/>
      <c r="O228" s="2"/>
      <c r="P228" s="2"/>
      <c r="Q228" s="2"/>
      <c r="R228" s="2"/>
      <c r="S228" s="2" t="s">
        <v>15</v>
      </c>
      <c r="T228" s="2"/>
      <c r="U228" s="2"/>
      <c r="V228" s="2"/>
      <c r="W228" s="2" t="str">
        <f>IF(INDEX(EquipmentInfo[Thuê CQ],PlanTable[[#This Row],[I]])=0,"",INDEX(EquipmentInfo[Thuê CQ],PlanTable[[#This Row],[I]]))</f>
        <v/>
      </c>
      <c r="X228" s="2" t="str">
        <f>INDEX(EquipmentInfo[Người phụ trách],PlanTable[[#This Row],[I]])</f>
        <v>Thúy</v>
      </c>
      <c r="Y228" s="2"/>
      <c r="Z228" s="1"/>
    </row>
    <row r="229" spans="1:26" x14ac:dyDescent="0.25">
      <c r="A229" s="2">
        <v>224</v>
      </c>
      <c r="B229" s="2">
        <f>MATCH(PlanTable[[#This Row],[Mã thiết bị]],EquipmentInfo[Mã thiết bị],0)</f>
        <v>233</v>
      </c>
      <c r="C229" s="22" t="str">
        <f>INDEX(EquipmentInfo[Tên thiết bị],MATCH(PlanTable[[#This Row],[Mã thiết bị]],EquipmentInfo[Mã thiết bị],0))</f>
        <v>Đồng hồ DIGITIMER</v>
      </c>
      <c r="D229" s="2" t="s">
        <v>278</v>
      </c>
      <c r="E229" s="2" t="str">
        <f>IF(INDEX(EquipmentInfo[KĐ cân],PlanTable[[#This Row],[I]])=0,"",INDEX(EquipmentInfo[KĐ cân],PlanTable[[#This Row],[I]]))</f>
        <v/>
      </c>
      <c r="F229" s="2" t="str">
        <f>IF(INDEX(EquipmentInfo[KĐ áp kế],PlanTable[[#This Row],[I]])=0,"",INDEX(EquipmentInfo[KĐ áp kế],PlanTable[[#This Row],[I]]))</f>
        <v/>
      </c>
      <c r="G229" s="2" t="str">
        <f>IF(INDEX(EquipmentInfo[KĐ AT],PlanTable[[#This Row],[I]])=0,"",INDEX(EquipmentInfo[KĐ AT],PlanTable[[#This Row],[I]]))</f>
        <v/>
      </c>
      <c r="H229" s="2">
        <f>IF(INDEX(EquipmentInfo[HC],PlanTable[[#This Row],[I]])=0,"",INDEX(EquipmentInfo[HC],PlanTable[[#This Row],[I]]))</f>
        <v>12</v>
      </c>
      <c r="I229" s="2" t="str">
        <f>IF(INDEX(EquipmentInfo[BT],PlanTable[[#This Row],[I]])=0,"",INDEX(EquipmentInfo[BT],PlanTable[[#This Row],[I]]))</f>
        <v/>
      </c>
      <c r="J229" s="2" t="str">
        <f>IF(INDEX(EquipmentInfo[PQ],PlanTable[[#This Row],[I]])=0,"",INDEX(EquipmentInfo[PQ],PlanTable[[#This Row],[I]]))</f>
        <v/>
      </c>
      <c r="K229" s="2"/>
      <c r="L229" s="2"/>
      <c r="M229" s="2"/>
      <c r="N229" s="2"/>
      <c r="O229" s="2"/>
      <c r="P229" s="2"/>
      <c r="Q229" s="2" t="s">
        <v>15</v>
      </c>
      <c r="R229" s="2"/>
      <c r="S229" s="2"/>
      <c r="T229" s="2"/>
      <c r="U229" s="2"/>
      <c r="V229" s="2"/>
      <c r="W229" s="2" t="str">
        <f>IF(INDEX(EquipmentInfo[Thuê CQ],PlanTable[[#This Row],[I]])=0,"",INDEX(EquipmentInfo[Thuê CQ],PlanTable[[#This Row],[I]]))</f>
        <v/>
      </c>
      <c r="X229" s="2" t="str">
        <f>INDEX(EquipmentInfo[Người phụ trách],PlanTable[[#This Row],[I]])</f>
        <v>Thúy</v>
      </c>
      <c r="Y229" s="2"/>
      <c r="Z229" s="1"/>
    </row>
    <row r="230" spans="1:26" x14ac:dyDescent="0.25">
      <c r="A230" s="2">
        <v>225</v>
      </c>
      <c r="B230" s="2">
        <f>MATCH(PlanTable[[#This Row],[Mã thiết bị]],EquipmentInfo[Mã thiết bị],0)</f>
        <v>234</v>
      </c>
      <c r="C230" s="22" t="str">
        <f>INDEX(EquipmentInfo[Tên thiết bị],MATCH(PlanTable[[#This Row],[Mã thiết bị]],EquipmentInfo[Mã thiết bị],0))</f>
        <v>Cân kỹ thuật Shimadzu UW 420</v>
      </c>
      <c r="D230" s="2" t="s">
        <v>279</v>
      </c>
      <c r="E230" s="2">
        <f>IF(INDEX(EquipmentInfo[KĐ cân],PlanTable[[#This Row],[I]])=0,"",INDEX(EquipmentInfo[KĐ cân],PlanTable[[#This Row],[I]]))</f>
        <v>12</v>
      </c>
      <c r="F230" s="2" t="str">
        <f>IF(INDEX(EquipmentInfo[KĐ áp kế],PlanTable[[#This Row],[I]])=0,"",INDEX(EquipmentInfo[KĐ áp kế],PlanTable[[#This Row],[I]]))</f>
        <v/>
      </c>
      <c r="G230" s="2" t="str">
        <f>IF(INDEX(EquipmentInfo[KĐ AT],PlanTable[[#This Row],[I]])=0,"",INDEX(EquipmentInfo[KĐ AT],PlanTable[[#This Row],[I]]))</f>
        <v/>
      </c>
      <c r="H230" s="2">
        <f>IF(INDEX(EquipmentInfo[HC],PlanTable[[#This Row],[I]])=0,"",INDEX(EquipmentInfo[HC],PlanTable[[#This Row],[I]]))</f>
        <v>12</v>
      </c>
      <c r="I230" s="2">
        <f>IF(INDEX(EquipmentInfo[BT],PlanTable[[#This Row],[I]])=0,"",INDEX(EquipmentInfo[BT],PlanTable[[#This Row],[I]]))</f>
        <v>3</v>
      </c>
      <c r="J230" s="2" t="str">
        <f>IF(INDEX(EquipmentInfo[PQ],PlanTable[[#This Row],[I]])=0,"",INDEX(EquipmentInfo[PQ],PlanTable[[#This Row],[I]]))</f>
        <v/>
      </c>
      <c r="K230" s="2" t="s">
        <v>16</v>
      </c>
      <c r="L230" s="2"/>
      <c r="M230" s="2" t="s">
        <v>17</v>
      </c>
      <c r="N230" s="2" t="s">
        <v>16</v>
      </c>
      <c r="O230" s="2"/>
      <c r="P230" s="2"/>
      <c r="Q230" s="2" t="s">
        <v>15</v>
      </c>
      <c r="R230" s="2"/>
      <c r="S230" s="2"/>
      <c r="T230" s="2" t="s">
        <v>16</v>
      </c>
      <c r="U230" s="2"/>
      <c r="V230" s="2"/>
      <c r="W230" s="2" t="str">
        <f>IF(INDEX(EquipmentInfo[Thuê CQ],PlanTable[[#This Row],[I]])=0,"",INDEX(EquipmentInfo[Thuê CQ],PlanTable[[#This Row],[I]]))</f>
        <v>x</v>
      </c>
      <c r="X230" s="2" t="str">
        <f>INDEX(EquipmentInfo[Người phụ trách],PlanTable[[#This Row],[I]])</f>
        <v>Thúy</v>
      </c>
      <c r="Y230" s="2"/>
      <c r="Z230" s="1"/>
    </row>
    <row r="231" spans="1:26" x14ac:dyDescent="0.25">
      <c r="Z231" s="1"/>
    </row>
    <row r="232" spans="1:26" x14ac:dyDescent="0.25">
      <c r="A232" s="17" t="s">
        <v>714</v>
      </c>
    </row>
    <row r="233" spans="1:26" x14ac:dyDescent="0.25">
      <c r="C233" s="1" t="s">
        <v>715</v>
      </c>
      <c r="D233" s="1" t="s">
        <v>769</v>
      </c>
    </row>
    <row r="234" spans="1:26" x14ac:dyDescent="0.25">
      <c r="C234" s="1" t="s">
        <v>716</v>
      </c>
    </row>
    <row r="235" spans="1:26" x14ac:dyDescent="0.25">
      <c r="C235" s="1" t="s">
        <v>717</v>
      </c>
    </row>
    <row r="237" spans="1:26" x14ac:dyDescent="0.25">
      <c r="T237" s="19" t="s">
        <v>720</v>
      </c>
    </row>
    <row r="238" spans="1:26" x14ac:dyDescent="0.25">
      <c r="C238" s="18" t="s">
        <v>766</v>
      </c>
      <c r="H238" s="18" t="s">
        <v>765</v>
      </c>
      <c r="T238" s="18" t="s">
        <v>718</v>
      </c>
    </row>
    <row r="239" spans="1:26" x14ac:dyDescent="0.25">
      <c r="C239" s="18" t="s">
        <v>767</v>
      </c>
      <c r="H239" s="18" t="s">
        <v>712</v>
      </c>
    </row>
    <row r="241" spans="3:20" ht="68.25" customHeight="1" x14ac:dyDescent="0.25">
      <c r="C241" s="18" t="s">
        <v>768</v>
      </c>
      <c r="H241" s="18" t="s">
        <v>713</v>
      </c>
      <c r="T241" s="18" t="s">
        <v>719</v>
      </c>
    </row>
  </sheetData>
  <mergeCells count="4">
    <mergeCell ref="K4:V4"/>
    <mergeCell ref="A1:Y1"/>
    <mergeCell ref="A2:Y2"/>
    <mergeCell ref="E4:J4"/>
  </mergeCells>
  <phoneticPr fontId="3" type="noConversion"/>
  <printOptions horizontalCentered="1"/>
  <pageMargins left="0.19685039370078741" right="0.19685039370078741" top="0.62992125984251968" bottom="0.39370078740157483" header="0.31496062992125984" footer="0.19685039370078741"/>
  <pageSetup paperSize="9" scale="83" fitToHeight="0" orientation="landscape" r:id="rId1"/>
  <headerFooter>
    <oddHeader>&amp;L&amp;G&amp;R&amp;"Times New Roman,Italic"&amp;10BM45/16
BH/SĐ: 25/03/18</oddHeader>
    <oddFooter>&amp;C&amp;"Times New Roman,Regular"&amp;10&amp;P/&amp;N</oddFooter>
  </headerFooter>
  <legacyDrawingHF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Abbr</vt:lpstr>
      <vt:lpstr>EquipmentInfo</vt:lpstr>
      <vt:lpstr>PlanData</vt:lpstr>
      <vt:lpstr>ReportData</vt:lpstr>
      <vt:lpstr>_</vt:lpstr>
      <vt:lpstr>PlanTable</vt:lpstr>
      <vt:lpstr>PlanTable!Print_Titles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Anh Tuan (QLCL)</dc:creator>
  <cp:lastModifiedBy>Nguyen Anh Tuan (QLCL)</cp:lastModifiedBy>
  <cp:lastPrinted>2023-03-03T07:36:32Z</cp:lastPrinted>
  <dcterms:created xsi:type="dcterms:W3CDTF">2023-01-10T07:13:15Z</dcterms:created>
  <dcterms:modified xsi:type="dcterms:W3CDTF">2023-04-22T04:16:36Z</dcterms:modified>
</cp:coreProperties>
</file>